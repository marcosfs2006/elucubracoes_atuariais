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doherty\Desktop\Personal\_IBA\Tábuas\"/>
    </mc:Choice>
  </mc:AlternateContent>
  <xr:revisionPtr revIDLastSave="0" documentId="13_ncr:1_{91DB8CC4-F224-4DD5-9DD3-5478583B59BF}" xr6:coauthVersionLast="45" xr6:coauthVersionMax="45" xr10:uidLastSave="{00000000-0000-0000-0000-000000000000}"/>
  <bookViews>
    <workbookView xWindow="-120" yWindow="-120" windowWidth="20730" windowHeight="11160" tabRatio="908" activeTab="1" xr2:uid="{00000000-000D-0000-FFFF-FFFF00000000}"/>
  </bookViews>
  <sheets>
    <sheet name="Limitações e Ressalvas" sheetId="9" r:id="rId1"/>
    <sheet name="CONSULTA" sheetId="7" r:id="rId2"/>
    <sheet name="TÁBUAS" sheetId="8" r:id="rId3"/>
    <sheet name="Mortalidade Geral" sheetId="1" state="hidden" r:id="rId4"/>
    <sheet name="Mortalidade de Inválidos" sheetId="4" state="hidden" r:id="rId5"/>
    <sheet name="Entrada em Invalidez" sheetId="5" state="hidden" r:id="rId6"/>
    <sheet name="Auxílio-Doença (dias)" sheetId="6" state="hidden" r:id="rId7"/>
  </sheets>
  <definedNames>
    <definedName name="_xlnm.Print_Area" localSheetId="1">CONSULTA!$A$1:$F$137</definedName>
    <definedName name="_xlnm.Print_Area" localSheetId="0">'Limitações e Ressalvas'!$A$1:$O$24</definedName>
    <definedName name="_xlnm.Print_Area" localSheetId="2">TÁBUAS!$A$1:$DD$141</definedName>
    <definedName name="_xlnm.Print_Titles" localSheetId="1">CONSULTA!$A:$A,CONSULTA!$1:$10</definedName>
    <definedName name="_xlnm.Print_Titles" localSheetId="2">TÁBUAS!$A:$A,TÁBUAS!$1:$11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0" i="7" l="1"/>
  <c r="O10" i="7"/>
  <c r="Q12" i="7" s="1"/>
  <c r="N9" i="7"/>
  <c r="O9" i="7"/>
  <c r="P12" i="7" s="1"/>
  <c r="N8" i="7"/>
  <c r="O8" i="7"/>
  <c r="O12" i="7" s="1"/>
  <c r="O7" i="7"/>
  <c r="N12" i="7" s="1"/>
  <c r="N7" i="7"/>
  <c r="C8" i="7"/>
  <c r="E4" i="6"/>
  <c r="F4" i="6"/>
  <c r="G4" i="6" s="1"/>
  <c r="H4" i="6" s="1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AC4" i="6" s="1"/>
  <c r="AD4" i="6" s="1"/>
  <c r="AE4" i="6" s="1"/>
  <c r="AF4" i="6" s="1"/>
  <c r="AG4" i="6" s="1"/>
  <c r="AH4" i="6" s="1"/>
  <c r="AI4" i="6" s="1"/>
  <c r="AJ4" i="6" s="1"/>
  <c r="AK4" i="6" s="1"/>
  <c r="AL4" i="6" s="1"/>
  <c r="AM4" i="6" s="1"/>
  <c r="AN4" i="6" s="1"/>
  <c r="AO4" i="6" s="1"/>
  <c r="AP4" i="6" s="1"/>
  <c r="AQ4" i="6" s="1"/>
  <c r="AR4" i="6" s="1"/>
  <c r="AS4" i="6" s="1"/>
  <c r="AT4" i="6" s="1"/>
  <c r="AU4" i="6" s="1"/>
  <c r="AV4" i="6" s="1"/>
  <c r="AW4" i="6" s="1"/>
  <c r="AX4" i="6" s="1"/>
  <c r="AY4" i="6" s="1"/>
  <c r="AZ4" i="6" s="1"/>
  <c r="BA4" i="6" s="1"/>
  <c r="BB4" i="6" s="1"/>
  <c r="BC4" i="6" s="1"/>
  <c r="BD4" i="6" s="1"/>
  <c r="BE4" i="6" s="1"/>
  <c r="BF4" i="6" s="1"/>
  <c r="BG4" i="6" s="1"/>
  <c r="BH4" i="6" s="1"/>
  <c r="BI4" i="6" s="1"/>
  <c r="BJ4" i="6" s="1"/>
  <c r="BK4" i="6" s="1"/>
  <c r="BL4" i="6" s="1"/>
  <c r="BM4" i="6" s="1"/>
  <c r="BN4" i="6" s="1"/>
  <c r="BO4" i="6" s="1"/>
  <c r="BP4" i="6" s="1"/>
  <c r="BQ4" i="6" s="1"/>
  <c r="BR4" i="6" s="1"/>
  <c r="BS4" i="6" s="1"/>
  <c r="BT4" i="6" s="1"/>
  <c r="BU4" i="6" s="1"/>
  <c r="BV4" i="6" s="1"/>
  <c r="BW4" i="6" s="1"/>
  <c r="BX4" i="6" s="1"/>
  <c r="BY4" i="6" s="1"/>
  <c r="BZ4" i="6" s="1"/>
  <c r="CA4" i="6" s="1"/>
  <c r="CB4" i="6" s="1"/>
  <c r="CC4" i="6" s="1"/>
  <c r="CD4" i="6" s="1"/>
  <c r="CE4" i="6" s="1"/>
  <c r="CF4" i="6" s="1"/>
  <c r="CG4" i="6" s="1"/>
  <c r="CH4" i="6" s="1"/>
  <c r="CI4" i="6" s="1"/>
  <c r="CJ4" i="6" s="1"/>
  <c r="CK4" i="6" s="1"/>
  <c r="CL4" i="6" s="1"/>
  <c r="CM4" i="6" s="1"/>
  <c r="CN4" i="6" s="1"/>
  <c r="CO4" i="6" s="1"/>
  <c r="CP4" i="6" s="1"/>
  <c r="CQ4" i="6" s="1"/>
  <c r="CR4" i="6" s="1"/>
  <c r="CS4" i="6" s="1"/>
  <c r="CT4" i="6" s="1"/>
  <c r="CU4" i="6" s="1"/>
  <c r="CV4" i="6" s="1"/>
  <c r="CW4" i="6" s="1"/>
  <c r="CX4" i="6" s="1"/>
  <c r="CY4" i="6" s="1"/>
  <c r="CZ4" i="6" s="1"/>
  <c r="DA4" i="6" s="1"/>
  <c r="DB4" i="6" s="1"/>
  <c r="DC4" i="6" s="1"/>
  <c r="DD4" i="6" s="1"/>
  <c r="DE4" i="6" s="1"/>
  <c r="DF4" i="6" s="1"/>
  <c r="DG4" i="6" s="1"/>
  <c r="DH4" i="6" s="1"/>
  <c r="DI4" i="6" s="1"/>
  <c r="DJ4" i="6" s="1"/>
  <c r="DK4" i="6" s="1"/>
  <c r="DL4" i="6" s="1"/>
  <c r="DM4" i="6" s="1"/>
  <c r="DN4" i="6" s="1"/>
  <c r="DO4" i="6" s="1"/>
  <c r="DP4" i="6" s="1"/>
  <c r="DQ4" i="6" s="1"/>
  <c r="DR4" i="6" s="1"/>
  <c r="DS4" i="6" s="1"/>
  <c r="DT4" i="6" s="1"/>
  <c r="DU4" i="6" s="1"/>
  <c r="DV4" i="6" s="1"/>
  <c r="DW4" i="6" s="1"/>
  <c r="DX4" i="6" s="1"/>
  <c r="DY4" i="6" s="1"/>
  <c r="DZ4" i="6" s="1"/>
  <c r="E4" i="5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Q4" i="5" s="1"/>
  <c r="AR4" i="5" s="1"/>
  <c r="AS4" i="5" s="1"/>
  <c r="AT4" i="5" s="1"/>
  <c r="AU4" i="5" s="1"/>
  <c r="AV4" i="5" s="1"/>
  <c r="AW4" i="5" s="1"/>
  <c r="AX4" i="5" s="1"/>
  <c r="AY4" i="5" s="1"/>
  <c r="AZ4" i="5" s="1"/>
  <c r="BA4" i="5" s="1"/>
  <c r="BB4" i="5" s="1"/>
  <c r="BC4" i="5" s="1"/>
  <c r="BD4" i="5" s="1"/>
  <c r="BE4" i="5" s="1"/>
  <c r="BF4" i="5" s="1"/>
  <c r="BG4" i="5" s="1"/>
  <c r="BH4" i="5" s="1"/>
  <c r="BI4" i="5" s="1"/>
  <c r="BJ4" i="5" s="1"/>
  <c r="BK4" i="5" s="1"/>
  <c r="BL4" i="5" s="1"/>
  <c r="BM4" i="5" s="1"/>
  <c r="BN4" i="5" s="1"/>
  <c r="BO4" i="5" s="1"/>
  <c r="BP4" i="5" s="1"/>
  <c r="BQ4" i="5" s="1"/>
  <c r="BR4" i="5" s="1"/>
  <c r="BS4" i="5" s="1"/>
  <c r="BT4" i="5" s="1"/>
  <c r="BU4" i="5" s="1"/>
  <c r="BV4" i="5" s="1"/>
  <c r="BW4" i="5" s="1"/>
  <c r="BX4" i="5" s="1"/>
  <c r="BY4" i="5" s="1"/>
  <c r="BZ4" i="5" s="1"/>
  <c r="CA4" i="5" s="1"/>
  <c r="CB4" i="5" s="1"/>
  <c r="CC4" i="5" s="1"/>
  <c r="CD4" i="5" s="1"/>
  <c r="CE4" i="5" s="1"/>
  <c r="CF4" i="5" s="1"/>
  <c r="CG4" i="5" s="1"/>
  <c r="CH4" i="5" s="1"/>
  <c r="CI4" i="5" s="1"/>
  <c r="CJ4" i="5" s="1"/>
  <c r="CK4" i="5" s="1"/>
  <c r="CL4" i="5" s="1"/>
  <c r="CM4" i="5" s="1"/>
  <c r="CN4" i="5" s="1"/>
  <c r="CO4" i="5" s="1"/>
  <c r="CP4" i="5" s="1"/>
  <c r="CQ4" i="5" s="1"/>
  <c r="CR4" i="5" s="1"/>
  <c r="CS4" i="5" s="1"/>
  <c r="CT4" i="5" s="1"/>
  <c r="CU4" i="5" s="1"/>
  <c r="CV4" i="5" s="1"/>
  <c r="CW4" i="5" s="1"/>
  <c r="CX4" i="5" s="1"/>
  <c r="CY4" i="5" s="1"/>
  <c r="CZ4" i="5" s="1"/>
  <c r="DA4" i="5" s="1"/>
  <c r="DB4" i="5" s="1"/>
  <c r="DC4" i="5" s="1"/>
  <c r="DD4" i="5" s="1"/>
  <c r="DE4" i="5" s="1"/>
  <c r="DF4" i="5" s="1"/>
  <c r="DG4" i="5" s="1"/>
  <c r="DH4" i="5" s="1"/>
  <c r="DI4" i="5" s="1"/>
  <c r="DJ4" i="5" s="1"/>
  <c r="DK4" i="5" s="1"/>
  <c r="DL4" i="5" s="1"/>
  <c r="DM4" i="5" s="1"/>
  <c r="DN4" i="5" s="1"/>
  <c r="DO4" i="5" s="1"/>
  <c r="DP4" i="5" s="1"/>
  <c r="DQ4" i="5" s="1"/>
  <c r="DR4" i="5" s="1"/>
  <c r="DS4" i="5" s="1"/>
  <c r="DT4" i="5" s="1"/>
  <c r="DU4" i="5" s="1"/>
  <c r="DV4" i="5" s="1"/>
  <c r="DW4" i="5" s="1"/>
  <c r="DX4" i="5" s="1"/>
  <c r="DY4" i="5" s="1"/>
  <c r="DZ4" i="5" s="1"/>
  <c r="E4" i="4"/>
  <c r="F4" i="4"/>
  <c r="G4" i="4" s="1"/>
  <c r="H4" i="4" s="1"/>
  <c r="I4" i="4" s="1"/>
  <c r="J4" i="4" s="1"/>
  <c r="K4" i="4" s="1"/>
  <c r="L4" i="4" s="1"/>
  <c r="M4" i="4" s="1"/>
  <c r="N4" i="4" s="1"/>
  <c r="O4" i="4" s="1"/>
  <c r="P4" i="4" s="1"/>
  <c r="Q4" i="4" s="1"/>
  <c r="R4" i="4" s="1"/>
  <c r="S4" i="4" s="1"/>
  <c r="T4" i="4" s="1"/>
  <c r="U4" i="4" s="1"/>
  <c r="V4" i="4" s="1"/>
  <c r="W4" i="4" s="1"/>
  <c r="X4" i="4" s="1"/>
  <c r="Y4" i="4" s="1"/>
  <c r="Z4" i="4" s="1"/>
  <c r="AA4" i="4" s="1"/>
  <c r="AB4" i="4" s="1"/>
  <c r="AC4" i="4" s="1"/>
  <c r="AD4" i="4" s="1"/>
  <c r="AE4" i="4" s="1"/>
  <c r="AF4" i="4" s="1"/>
  <c r="AG4" i="4" s="1"/>
  <c r="AH4" i="4" s="1"/>
  <c r="AI4" i="4" s="1"/>
  <c r="AJ4" i="4" s="1"/>
  <c r="AK4" i="4" s="1"/>
  <c r="AL4" i="4" s="1"/>
  <c r="AM4" i="4" s="1"/>
  <c r="AN4" i="4" s="1"/>
  <c r="AO4" i="4" s="1"/>
  <c r="AP4" i="4" s="1"/>
  <c r="AQ4" i="4" s="1"/>
  <c r="AR4" i="4" s="1"/>
  <c r="AS4" i="4" s="1"/>
  <c r="AT4" i="4" s="1"/>
  <c r="AU4" i="4" s="1"/>
  <c r="AV4" i="4" s="1"/>
  <c r="AW4" i="4" s="1"/>
  <c r="AX4" i="4" s="1"/>
  <c r="AY4" i="4" s="1"/>
  <c r="AZ4" i="4" s="1"/>
  <c r="BA4" i="4" s="1"/>
  <c r="BB4" i="4" s="1"/>
  <c r="BC4" i="4" s="1"/>
  <c r="BD4" i="4" s="1"/>
  <c r="BE4" i="4" s="1"/>
  <c r="BF4" i="4" s="1"/>
  <c r="BG4" i="4" s="1"/>
  <c r="BH4" i="4" s="1"/>
  <c r="BI4" i="4" s="1"/>
  <c r="BJ4" i="4" s="1"/>
  <c r="BK4" i="4" s="1"/>
  <c r="BL4" i="4" s="1"/>
  <c r="BM4" i="4" s="1"/>
  <c r="BN4" i="4" s="1"/>
  <c r="BO4" i="4" s="1"/>
  <c r="BP4" i="4" s="1"/>
  <c r="BQ4" i="4" s="1"/>
  <c r="BR4" i="4" s="1"/>
  <c r="BS4" i="4" s="1"/>
  <c r="BT4" i="4" s="1"/>
  <c r="BU4" i="4" s="1"/>
  <c r="BV4" i="4" s="1"/>
  <c r="BW4" i="4" s="1"/>
  <c r="BX4" i="4" s="1"/>
  <c r="BY4" i="4" s="1"/>
  <c r="BZ4" i="4" s="1"/>
  <c r="CA4" i="4" s="1"/>
  <c r="CB4" i="4" s="1"/>
  <c r="CC4" i="4" s="1"/>
  <c r="CD4" i="4" s="1"/>
  <c r="CE4" i="4" s="1"/>
  <c r="CF4" i="4" s="1"/>
  <c r="CG4" i="4" s="1"/>
  <c r="CH4" i="4" s="1"/>
  <c r="CI4" i="4" s="1"/>
  <c r="CJ4" i="4" s="1"/>
  <c r="CK4" i="4" s="1"/>
  <c r="CL4" i="4" s="1"/>
  <c r="CM4" i="4" s="1"/>
  <c r="CN4" i="4" s="1"/>
  <c r="CO4" i="4" s="1"/>
  <c r="CP4" i="4" s="1"/>
  <c r="CQ4" i="4" s="1"/>
  <c r="CR4" i="4" s="1"/>
  <c r="CS4" i="4" s="1"/>
  <c r="CT4" i="4" s="1"/>
  <c r="CU4" i="4" s="1"/>
  <c r="CV4" i="4" s="1"/>
  <c r="CW4" i="4" s="1"/>
  <c r="CX4" i="4" s="1"/>
  <c r="CY4" i="4" s="1"/>
  <c r="CZ4" i="4" s="1"/>
  <c r="DA4" i="4" s="1"/>
  <c r="DB4" i="4" s="1"/>
  <c r="DC4" i="4" s="1"/>
  <c r="DD4" i="4" s="1"/>
  <c r="DE4" i="4" s="1"/>
  <c r="DF4" i="4" s="1"/>
  <c r="DG4" i="4" s="1"/>
  <c r="DH4" i="4" s="1"/>
  <c r="DI4" i="4" s="1"/>
  <c r="DJ4" i="4" s="1"/>
  <c r="DK4" i="4" s="1"/>
  <c r="DL4" i="4" s="1"/>
  <c r="DM4" i="4" s="1"/>
  <c r="DN4" i="4" s="1"/>
  <c r="DO4" i="4" s="1"/>
  <c r="DP4" i="4" s="1"/>
  <c r="DQ4" i="4" s="1"/>
  <c r="DR4" i="4" s="1"/>
  <c r="DS4" i="4" s="1"/>
  <c r="DT4" i="4" s="1"/>
  <c r="DU4" i="4" s="1"/>
  <c r="DV4" i="4" s="1"/>
  <c r="DW4" i="4" s="1"/>
  <c r="DX4" i="4" s="1"/>
  <c r="DY4" i="4" s="1"/>
  <c r="DZ4" i="4" s="1"/>
  <c r="CZ44" i="1"/>
  <c r="CY44" i="1"/>
  <c r="CX44" i="1"/>
  <c r="CW44" i="1"/>
  <c r="CV44" i="1"/>
  <c r="CU44" i="1"/>
  <c r="CT44" i="1"/>
  <c r="CS44" i="1"/>
  <c r="CR44" i="1"/>
  <c r="CQ44" i="1"/>
  <c r="CP44" i="1"/>
  <c r="CO44" i="1"/>
  <c r="CN44" i="1"/>
  <c r="CM44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BZ44" i="1"/>
  <c r="BY44" i="1"/>
  <c r="BX44" i="1"/>
  <c r="BW44" i="1"/>
  <c r="BV44" i="1"/>
  <c r="BU44" i="1"/>
  <c r="BT44" i="1"/>
  <c r="BS44" i="1"/>
  <c r="BR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BX42" i="1"/>
  <c r="BW42" i="1"/>
  <c r="BV42" i="1"/>
  <c r="BU42" i="1"/>
  <c r="BT42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E6" i="1"/>
  <c r="F6" i="1"/>
  <c r="G6" i="1"/>
  <c r="H6" i="1" s="1"/>
  <c r="I6" i="1" s="1"/>
  <c r="J6" i="1" s="1"/>
  <c r="K6" i="1" s="1"/>
  <c r="L6" i="1" s="1"/>
  <c r="M6" i="1" s="1"/>
  <c r="N6" i="1" s="1"/>
  <c r="O6" i="1" s="1"/>
  <c r="P6" i="1" s="1"/>
  <c r="Q6" i="1" s="1"/>
  <c r="R6" i="1" s="1"/>
  <c r="S6" i="1" s="1"/>
  <c r="T6" i="1" s="1"/>
  <c r="U6" i="1" s="1"/>
  <c r="V6" i="1" s="1"/>
  <c r="W6" i="1" s="1"/>
  <c r="X6" i="1" s="1"/>
  <c r="Y6" i="1" s="1"/>
  <c r="Z6" i="1" s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AM6" i="1" s="1"/>
  <c r="AN6" i="1" s="1"/>
  <c r="AO6" i="1" s="1"/>
  <c r="AP6" i="1" s="1"/>
  <c r="AQ6" i="1" s="1"/>
  <c r="AR6" i="1" s="1"/>
  <c r="AS6" i="1" s="1"/>
  <c r="AT6" i="1" s="1"/>
  <c r="AU6" i="1" s="1"/>
  <c r="AV6" i="1" s="1"/>
  <c r="AW6" i="1" s="1"/>
  <c r="AX6" i="1" s="1"/>
  <c r="AY6" i="1" s="1"/>
  <c r="AZ6" i="1" s="1"/>
  <c r="BA6" i="1" s="1"/>
  <c r="BB6" i="1" s="1"/>
  <c r="BC6" i="1" s="1"/>
  <c r="BD6" i="1" s="1"/>
  <c r="BE6" i="1" s="1"/>
  <c r="BF6" i="1" s="1"/>
  <c r="BG6" i="1" s="1"/>
  <c r="BH6" i="1" s="1"/>
  <c r="BI6" i="1" s="1"/>
  <c r="BJ6" i="1" s="1"/>
  <c r="BK6" i="1" s="1"/>
  <c r="BL6" i="1" s="1"/>
  <c r="BM6" i="1" s="1"/>
  <c r="BN6" i="1" s="1"/>
  <c r="BO6" i="1" s="1"/>
  <c r="BP6" i="1" s="1"/>
  <c r="BQ6" i="1" s="1"/>
  <c r="BR6" i="1" s="1"/>
  <c r="BS6" i="1" s="1"/>
  <c r="BT6" i="1" s="1"/>
  <c r="BU6" i="1" s="1"/>
  <c r="BV6" i="1" s="1"/>
  <c r="BW6" i="1" s="1"/>
  <c r="BX6" i="1" s="1"/>
  <c r="BY6" i="1" s="1"/>
  <c r="BZ6" i="1" s="1"/>
  <c r="CA6" i="1" s="1"/>
  <c r="CB6" i="1" s="1"/>
  <c r="CC6" i="1" s="1"/>
  <c r="CD6" i="1" s="1"/>
  <c r="CE6" i="1" s="1"/>
  <c r="CF6" i="1" s="1"/>
  <c r="CG6" i="1" s="1"/>
  <c r="CH6" i="1" s="1"/>
  <c r="CI6" i="1" s="1"/>
  <c r="CJ6" i="1" s="1"/>
  <c r="CK6" i="1" s="1"/>
  <c r="CL6" i="1" s="1"/>
  <c r="CM6" i="1" s="1"/>
  <c r="CN6" i="1" s="1"/>
  <c r="CO6" i="1" s="1"/>
  <c r="CP6" i="1" s="1"/>
  <c r="CQ6" i="1" s="1"/>
  <c r="CR6" i="1" s="1"/>
  <c r="CS6" i="1" s="1"/>
  <c r="CT6" i="1" s="1"/>
  <c r="CU6" i="1" s="1"/>
  <c r="CV6" i="1" s="1"/>
  <c r="CW6" i="1" s="1"/>
  <c r="CX6" i="1" s="1"/>
  <c r="CY6" i="1" s="1"/>
  <c r="CZ6" i="1" s="1"/>
  <c r="DA6" i="1" s="1"/>
  <c r="DB6" i="1" s="1"/>
  <c r="DC6" i="1" s="1"/>
  <c r="DD6" i="1" s="1"/>
  <c r="DE6" i="1" s="1"/>
  <c r="DF6" i="1" s="1"/>
  <c r="DG6" i="1" s="1"/>
  <c r="DH6" i="1" s="1"/>
  <c r="DI6" i="1" s="1"/>
  <c r="DJ6" i="1" s="1"/>
  <c r="DK6" i="1" s="1"/>
  <c r="DL6" i="1" s="1"/>
  <c r="DM6" i="1" s="1"/>
  <c r="DN6" i="1" s="1"/>
  <c r="DO6" i="1" s="1"/>
  <c r="DP6" i="1" s="1"/>
  <c r="DQ6" i="1" s="1"/>
  <c r="DR6" i="1" s="1"/>
  <c r="DS6" i="1" s="1"/>
  <c r="DT6" i="1" s="1"/>
  <c r="DU6" i="1" s="1"/>
  <c r="DV6" i="1" s="1"/>
  <c r="DW6" i="1" s="1"/>
  <c r="DX6" i="1" s="1"/>
  <c r="DY6" i="1" s="1"/>
  <c r="DZ6" i="1" s="1"/>
  <c r="E10" i="7" l="1"/>
  <c r="B14" i="7" a="1"/>
  <c r="B14" i="7" s="1"/>
  <c r="B22" i="7" a="1"/>
  <c r="B22" i="7" s="1"/>
  <c r="B30" i="7" a="1"/>
  <c r="B30" i="7" s="1"/>
  <c r="B38" i="7" a="1"/>
  <c r="B38" i="7" s="1"/>
  <c r="B46" i="7" a="1"/>
  <c r="B46" i="7" s="1"/>
  <c r="B54" i="7" a="1"/>
  <c r="B54" i="7" s="1"/>
  <c r="B62" i="7" a="1"/>
  <c r="B62" i="7" s="1"/>
  <c r="B70" i="7" a="1"/>
  <c r="B70" i="7" s="1"/>
  <c r="B78" i="7" a="1"/>
  <c r="B78" i="7" s="1"/>
  <c r="B86" i="7" a="1"/>
  <c r="B86" i="7" s="1"/>
  <c r="B94" i="7" a="1"/>
  <c r="B94" i="7" s="1"/>
  <c r="B102" i="7" a="1"/>
  <c r="B102" i="7" s="1"/>
  <c r="B110" i="7" a="1"/>
  <c r="B110" i="7" s="1"/>
  <c r="B118" i="7" a="1"/>
  <c r="B118" i="7" s="1"/>
  <c r="B126" i="7" a="1"/>
  <c r="B126" i="7" s="1"/>
  <c r="B134" i="7" a="1"/>
  <c r="B134" i="7" s="1"/>
  <c r="B135" i="7" a="1"/>
  <c r="B135" i="7" s="1"/>
  <c r="B88" i="7" a="1"/>
  <c r="B88" i="7" s="1"/>
  <c r="B112" i="7" a="1"/>
  <c r="B112" i="7" s="1"/>
  <c r="B136" i="7" a="1"/>
  <c r="B136" i="7" s="1"/>
  <c r="B44" i="7" a="1"/>
  <c r="B44" i="7" s="1"/>
  <c r="B100" i="7" a="1"/>
  <c r="B100" i="7" s="1"/>
  <c r="D10" i="7"/>
  <c r="B15" i="7" a="1"/>
  <c r="B15" i="7" s="1"/>
  <c r="B23" i="7" a="1"/>
  <c r="B23" i="7" s="1"/>
  <c r="B31" i="7" a="1"/>
  <c r="B31" i="7" s="1"/>
  <c r="B39" i="7" a="1"/>
  <c r="B39" i="7" s="1"/>
  <c r="B47" i="7" a="1"/>
  <c r="B47" i="7" s="1"/>
  <c r="B55" i="7" a="1"/>
  <c r="B55" i="7" s="1"/>
  <c r="B63" i="7" a="1"/>
  <c r="B63" i="7" s="1"/>
  <c r="B71" i="7" a="1"/>
  <c r="B71" i="7" s="1"/>
  <c r="B79" i="7" a="1"/>
  <c r="B79" i="7" s="1"/>
  <c r="B87" i="7" a="1"/>
  <c r="B87" i="7" s="1"/>
  <c r="B95" i="7" a="1"/>
  <c r="B95" i="7" s="1"/>
  <c r="B103" i="7" a="1"/>
  <c r="B103" i="7" s="1"/>
  <c r="B111" i="7" a="1"/>
  <c r="B111" i="7" s="1"/>
  <c r="B119" i="7" a="1"/>
  <c r="B119" i="7" s="1"/>
  <c r="B127" i="7" a="1"/>
  <c r="B127" i="7" s="1"/>
  <c r="B104" i="7" a="1"/>
  <c r="B104" i="7" s="1"/>
  <c r="B128" i="7" a="1"/>
  <c r="B128" i="7" s="1"/>
  <c r="B10" i="7"/>
  <c r="B12" i="7" a="1"/>
  <c r="B12" i="7" s="1"/>
  <c r="B60" i="7" a="1"/>
  <c r="B60" i="7" s="1"/>
  <c r="B92" i="7" a="1"/>
  <c r="B92" i="7" s="1"/>
  <c r="B132" i="7" a="1"/>
  <c r="B132" i="7" s="1"/>
  <c r="C10" i="7"/>
  <c r="B16" i="7" a="1"/>
  <c r="B16" i="7" s="1"/>
  <c r="B24" i="7" a="1"/>
  <c r="B24" i="7" s="1"/>
  <c r="B32" i="7" a="1"/>
  <c r="B32" i="7" s="1"/>
  <c r="B40" i="7" a="1"/>
  <c r="B40" i="7" s="1"/>
  <c r="B48" i="7" a="1"/>
  <c r="B48" i="7" s="1"/>
  <c r="B56" i="7" a="1"/>
  <c r="B56" i="7" s="1"/>
  <c r="B64" i="7" a="1"/>
  <c r="B64" i="7" s="1"/>
  <c r="B72" i="7" a="1"/>
  <c r="B72" i="7" s="1"/>
  <c r="B80" i="7" a="1"/>
  <c r="B80" i="7" s="1"/>
  <c r="B96" i="7" a="1"/>
  <c r="B96" i="7" s="1"/>
  <c r="B120" i="7" a="1"/>
  <c r="B120" i="7" s="1"/>
  <c r="B52" i="7" a="1"/>
  <c r="B52" i="7" s="1"/>
  <c r="B116" i="7" a="1"/>
  <c r="B116" i="7" s="1"/>
  <c r="B17" i="7" a="1"/>
  <c r="B17" i="7" s="1"/>
  <c r="B25" i="7" a="1"/>
  <c r="B25" i="7" s="1"/>
  <c r="B33" i="7" a="1"/>
  <c r="B33" i="7" s="1"/>
  <c r="B41" i="7" a="1"/>
  <c r="B41" i="7" s="1"/>
  <c r="B49" i="7" a="1"/>
  <c r="B49" i="7" s="1"/>
  <c r="B57" i="7" a="1"/>
  <c r="B57" i="7" s="1"/>
  <c r="B65" i="7" a="1"/>
  <c r="B65" i="7" s="1"/>
  <c r="B73" i="7" a="1"/>
  <c r="B73" i="7" s="1"/>
  <c r="B81" i="7" a="1"/>
  <c r="B81" i="7" s="1"/>
  <c r="B89" i="7" a="1"/>
  <c r="B89" i="7" s="1"/>
  <c r="B97" i="7" a="1"/>
  <c r="B97" i="7" s="1"/>
  <c r="B105" i="7" a="1"/>
  <c r="B105" i="7" s="1"/>
  <c r="B113" i="7" a="1"/>
  <c r="B113" i="7" s="1"/>
  <c r="B121" i="7" a="1"/>
  <c r="B121" i="7" s="1"/>
  <c r="B129" i="7" a="1"/>
  <c r="B129" i="7" s="1"/>
  <c r="B137" i="7" a="1"/>
  <c r="B137" i="7" s="1"/>
  <c r="B131" i="7" a="1"/>
  <c r="B131" i="7" s="1"/>
  <c r="B20" i="7" a="1"/>
  <c r="B20" i="7" s="1"/>
  <c r="B68" i="7" a="1"/>
  <c r="B68" i="7" s="1"/>
  <c r="B108" i="7" a="1"/>
  <c r="B108" i="7" s="1"/>
  <c r="B18" i="7" a="1"/>
  <c r="B18" i="7" s="1"/>
  <c r="B26" i="7" a="1"/>
  <c r="B26" i="7" s="1"/>
  <c r="B34" i="7" a="1"/>
  <c r="B34" i="7" s="1"/>
  <c r="B42" i="7" a="1"/>
  <c r="B42" i="7" s="1"/>
  <c r="B50" i="7" a="1"/>
  <c r="B50" i="7" s="1"/>
  <c r="B58" i="7" a="1"/>
  <c r="B58" i="7" s="1"/>
  <c r="B66" i="7" a="1"/>
  <c r="B66" i="7" s="1"/>
  <c r="B74" i="7" a="1"/>
  <c r="B74" i="7" s="1"/>
  <c r="B82" i="7" a="1"/>
  <c r="B82" i="7" s="1"/>
  <c r="B90" i="7" a="1"/>
  <c r="B90" i="7" s="1"/>
  <c r="B98" i="7" a="1"/>
  <c r="B98" i="7" s="1"/>
  <c r="B106" i="7" a="1"/>
  <c r="B106" i="7" s="1"/>
  <c r="B114" i="7" a="1"/>
  <c r="B114" i="7" s="1"/>
  <c r="B122" i="7" a="1"/>
  <c r="B122" i="7" s="1"/>
  <c r="B130" i="7" a="1"/>
  <c r="B130" i="7" s="1"/>
  <c r="B11" i="7" a="1"/>
  <c r="B11" i="7" s="1"/>
  <c r="B59" i="7" a="1"/>
  <c r="B59" i="7" s="1"/>
  <c r="B91" i="7" a="1"/>
  <c r="B91" i="7" s="1"/>
  <c r="B107" i="7" a="1"/>
  <c r="B107" i="7" s="1"/>
  <c r="B123" i="7" a="1"/>
  <c r="B123" i="7" s="1"/>
  <c r="B36" i="7" a="1"/>
  <c r="B36" i="7" s="1"/>
  <c r="B84" i="7" a="1"/>
  <c r="B84" i="7" s="1"/>
  <c r="B19" i="7" a="1"/>
  <c r="B19" i="7" s="1"/>
  <c r="B27" i="7" a="1"/>
  <c r="B27" i="7" s="1"/>
  <c r="B35" i="7" a="1"/>
  <c r="B35" i="7" s="1"/>
  <c r="B43" i="7" a="1"/>
  <c r="B43" i="7" s="1"/>
  <c r="B51" i="7" a="1"/>
  <c r="B51" i="7" s="1"/>
  <c r="B67" i="7" a="1"/>
  <c r="B67" i="7" s="1"/>
  <c r="B75" i="7" a="1"/>
  <c r="B75" i="7" s="1"/>
  <c r="B83" i="7" a="1"/>
  <c r="B83" i="7" s="1"/>
  <c r="B99" i="7" a="1"/>
  <c r="B99" i="7" s="1"/>
  <c r="B115" i="7" a="1"/>
  <c r="B115" i="7" s="1"/>
  <c r="B28" i="7" a="1"/>
  <c r="B28" i="7" s="1"/>
  <c r="B76" i="7" a="1"/>
  <c r="B76" i="7" s="1"/>
  <c r="B124" i="7" a="1"/>
  <c r="B124" i="7" s="1"/>
  <c r="B13" i="7" a="1"/>
  <c r="B13" i="7" s="1"/>
  <c r="B21" i="7" a="1"/>
  <c r="B21" i="7" s="1"/>
  <c r="B29" i="7" a="1"/>
  <c r="B29" i="7" s="1"/>
  <c r="B37" i="7" a="1"/>
  <c r="B37" i="7" s="1"/>
  <c r="B45" i="7" a="1"/>
  <c r="B45" i="7" s="1"/>
  <c r="B53" i="7" a="1"/>
  <c r="B53" i="7" s="1"/>
  <c r="B61" i="7" a="1"/>
  <c r="B61" i="7" s="1"/>
  <c r="B69" i="7" a="1"/>
  <c r="B69" i="7" s="1"/>
  <c r="B77" i="7" a="1"/>
  <c r="B77" i="7" s="1"/>
  <c r="B85" i="7" a="1"/>
  <c r="B85" i="7" s="1"/>
  <c r="B93" i="7" a="1"/>
  <c r="B93" i="7" s="1"/>
  <c r="B101" i="7" a="1"/>
  <c r="B101" i="7" s="1"/>
  <c r="B109" i="7" a="1"/>
  <c r="B109" i="7" s="1"/>
  <c r="B117" i="7" a="1"/>
  <c r="B117" i="7" s="1"/>
  <c r="B125" i="7" a="1"/>
  <c r="B125" i="7" s="1"/>
  <c r="B133" i="7" a="1"/>
  <c r="B133" i="7" s="1"/>
  <c r="C105" i="7"/>
  <c r="D65" i="7"/>
  <c r="E134" i="7"/>
  <c r="D66" i="7"/>
  <c r="C23" i="7"/>
  <c r="D126" i="7"/>
  <c r="E92" i="7"/>
  <c r="D35" i="7"/>
  <c r="C51" i="7"/>
  <c r="E16" i="7"/>
  <c r="E51" i="7"/>
  <c r="D103" i="7"/>
  <c r="E64" i="7"/>
  <c r="D136" i="7"/>
  <c r="C94" i="7"/>
  <c r="C24" i="7"/>
  <c r="D52" i="7"/>
  <c r="D102" i="7"/>
  <c r="D84" i="7"/>
  <c r="D106" i="7"/>
  <c r="D39" i="7"/>
  <c r="C61" i="7"/>
  <c r="C55" i="7"/>
  <c r="D15" i="7"/>
  <c r="C114" i="7"/>
  <c r="D119" i="7"/>
  <c r="C36" i="7"/>
  <c r="E78" i="7"/>
  <c r="C131" i="7"/>
  <c r="D125" i="7"/>
  <c r="D137" i="7"/>
  <c r="E109" i="7"/>
  <c r="D68" i="7"/>
  <c r="D127" i="7"/>
  <c r="C68" i="7"/>
  <c r="E77" i="7"/>
  <c r="D107" i="7"/>
  <c r="D73" i="7"/>
  <c r="E45" i="7"/>
  <c r="C28" i="7"/>
  <c r="D114" i="7"/>
  <c r="D48" i="7"/>
  <c r="E80" i="7"/>
  <c r="E102" i="7"/>
  <c r="D45" i="7"/>
  <c r="E65" i="7"/>
  <c r="D94" i="7"/>
  <c r="E29" i="7"/>
  <c r="E47" i="7"/>
  <c r="D115" i="7"/>
  <c r="C63" i="7"/>
  <c r="C17" i="7"/>
  <c r="E69" i="7"/>
  <c r="C67" i="7"/>
  <c r="D129" i="7"/>
  <c r="E101" i="7"/>
  <c r="D64" i="7"/>
  <c r="E113" i="7"/>
  <c r="E136" i="7"/>
  <c r="E12" i="7"/>
  <c r="D32" i="7"/>
  <c r="E73" i="7"/>
  <c r="E63" i="7"/>
  <c r="D29" i="7"/>
  <c r="D95" i="7"/>
  <c r="D105" i="7"/>
  <c r="C35" i="7"/>
  <c r="C136" i="7"/>
  <c r="C96" i="7"/>
  <c r="E110" i="7"/>
  <c r="C49" i="7"/>
  <c r="C116" i="7"/>
  <c r="C113" i="7"/>
  <c r="C58" i="7"/>
  <c r="D20" i="7"/>
  <c r="E20" i="7"/>
  <c r="E62" i="7"/>
  <c r="D12" i="7"/>
  <c r="E122" i="7"/>
  <c r="D26" i="7"/>
  <c r="E48" i="7"/>
  <c r="E31" i="7"/>
  <c r="C103" i="7"/>
  <c r="C41" i="7"/>
  <c r="E103" i="7"/>
  <c r="D82" i="7"/>
  <c r="C43" i="7"/>
  <c r="D122" i="7"/>
  <c r="D108" i="7"/>
  <c r="E74" i="7"/>
  <c r="C135" i="7"/>
  <c r="E30" i="7"/>
  <c r="C48" i="7"/>
  <c r="C107" i="7"/>
  <c r="C19" i="7"/>
  <c r="E13" i="7"/>
  <c r="E33" i="7"/>
  <c r="C62" i="7"/>
  <c r="E121" i="7"/>
  <c r="D79" i="7"/>
  <c r="C85" i="7"/>
  <c r="C57" i="7"/>
  <c r="E93" i="7"/>
  <c r="D135" i="7"/>
  <c r="D77" i="7"/>
  <c r="E54" i="7"/>
  <c r="C56" i="7"/>
  <c r="C125" i="7"/>
  <c r="D28" i="7"/>
  <c r="C66" i="7"/>
  <c r="C104" i="7"/>
  <c r="D104" i="7"/>
  <c r="E44" i="7"/>
  <c r="D33" i="7"/>
  <c r="D37" i="7"/>
  <c r="C127" i="7"/>
  <c r="D34" i="7"/>
  <c r="D41" i="7"/>
  <c r="D14" i="7"/>
  <c r="C69" i="7"/>
  <c r="E52" i="7"/>
  <c r="E26" i="7"/>
  <c r="C93" i="7"/>
  <c r="D130" i="7"/>
  <c r="C124" i="7"/>
  <c r="D27" i="7"/>
  <c r="E89" i="7"/>
  <c r="D23" i="7"/>
  <c r="D44" i="7"/>
  <c r="E66" i="7"/>
  <c r="D57" i="7"/>
  <c r="D50" i="7"/>
  <c r="C20" i="7"/>
  <c r="C118" i="7"/>
  <c r="E116" i="7"/>
  <c r="E35" i="7"/>
  <c r="C106" i="7"/>
  <c r="C53" i="7"/>
  <c r="E36" i="7"/>
  <c r="C97" i="7"/>
  <c r="D30" i="7"/>
  <c r="E24" i="7"/>
  <c r="E112" i="7"/>
  <c r="D11" i="7"/>
  <c r="E129" i="7"/>
  <c r="D69" i="7"/>
  <c r="E28" i="7"/>
  <c r="E22" i="7"/>
  <c r="E72" i="7"/>
  <c r="C39" i="7"/>
  <c r="E104" i="7"/>
  <c r="D55" i="7"/>
  <c r="D110" i="7"/>
  <c r="E21" i="7"/>
  <c r="C46" i="7"/>
  <c r="C90" i="7"/>
  <c r="D89" i="7"/>
  <c r="C87" i="7"/>
  <c r="E68" i="7"/>
  <c r="C44" i="7"/>
  <c r="C76" i="7"/>
  <c r="E38" i="7"/>
  <c r="D128" i="7"/>
  <c r="E87" i="7"/>
  <c r="C130" i="7"/>
  <c r="D54" i="7"/>
  <c r="E11" i="7"/>
  <c r="C15" i="7"/>
  <c r="E57" i="7"/>
  <c r="E61" i="7"/>
  <c r="E60" i="7"/>
  <c r="E131" i="7"/>
  <c r="D74" i="7"/>
  <c r="D36" i="7"/>
  <c r="D83" i="7"/>
  <c r="C21" i="7"/>
  <c r="D38" i="7"/>
  <c r="D61" i="7"/>
  <c r="E86" i="7"/>
  <c r="E90" i="7"/>
  <c r="E97" i="7"/>
  <c r="D25" i="7"/>
  <c r="E133" i="7"/>
  <c r="E70" i="7"/>
  <c r="E50" i="7"/>
  <c r="D58" i="7"/>
  <c r="C29" i="7"/>
  <c r="C52" i="7"/>
  <c r="E59" i="7"/>
  <c r="E37" i="7"/>
  <c r="E108" i="7"/>
  <c r="E127" i="7"/>
  <c r="C27" i="7"/>
  <c r="C132" i="7"/>
  <c r="C45" i="7"/>
  <c r="C72" i="7"/>
  <c r="C65" i="7"/>
  <c r="E88" i="7"/>
  <c r="C83" i="7"/>
  <c r="D117" i="7"/>
  <c r="D43" i="7"/>
  <c r="E23" i="7"/>
  <c r="E14" i="7"/>
  <c r="E75" i="7"/>
  <c r="D80" i="7"/>
  <c r="D62" i="7"/>
  <c r="D88" i="7"/>
  <c r="D85" i="7"/>
  <c r="D120" i="7"/>
  <c r="C33" i="7"/>
  <c r="E125" i="7"/>
  <c r="E67" i="7"/>
  <c r="C31" i="7"/>
  <c r="D109" i="7"/>
  <c r="D71" i="7"/>
  <c r="C120" i="7"/>
  <c r="E15" i="7"/>
  <c r="E98" i="7"/>
  <c r="E91" i="7"/>
  <c r="D40" i="7"/>
  <c r="C133" i="7"/>
  <c r="E107" i="7"/>
  <c r="E49" i="7"/>
  <c r="E83" i="7"/>
  <c r="C101" i="7"/>
  <c r="D49" i="7"/>
  <c r="D24" i="7"/>
  <c r="C12" i="7"/>
  <c r="E34" i="7"/>
  <c r="C22" i="7"/>
  <c r="C16" i="7"/>
  <c r="D118" i="7"/>
  <c r="D60" i="7"/>
  <c r="D17" i="7"/>
  <c r="E128" i="7"/>
  <c r="C82" i="7"/>
  <c r="D59" i="7"/>
  <c r="C71" i="7"/>
  <c r="E76" i="7"/>
  <c r="E118" i="7"/>
  <c r="D67" i="7"/>
  <c r="E99" i="7"/>
  <c r="D63" i="7"/>
  <c r="C30" i="7"/>
  <c r="E84" i="7"/>
  <c r="D98" i="7"/>
  <c r="C78" i="7"/>
  <c r="C50" i="7"/>
  <c r="E27" i="7"/>
  <c r="E55" i="7"/>
  <c r="E79" i="7"/>
  <c r="E39" i="7"/>
  <c r="C115" i="7"/>
  <c r="C79" i="7"/>
  <c r="E137" i="7"/>
  <c r="C32" i="7"/>
  <c r="C40" i="7"/>
  <c r="D132" i="7"/>
  <c r="D96" i="7"/>
  <c r="C34" i="7"/>
  <c r="E17" i="7"/>
  <c r="D123" i="7"/>
  <c r="C129" i="7"/>
  <c r="C102" i="7"/>
  <c r="D18" i="7"/>
  <c r="E53" i="7"/>
  <c r="E132" i="7"/>
  <c r="D113" i="7"/>
  <c r="D111" i="7"/>
  <c r="C112" i="7"/>
  <c r="D97" i="7"/>
  <c r="C64" i="7"/>
  <c r="E126" i="7"/>
  <c r="C98" i="7"/>
  <c r="C75" i="7"/>
  <c r="D72" i="7"/>
  <c r="C38" i="7"/>
  <c r="D100" i="7"/>
  <c r="C47" i="7"/>
  <c r="E111" i="7"/>
  <c r="E95" i="7"/>
  <c r="C91" i="7"/>
  <c r="E96" i="7"/>
  <c r="D13" i="7"/>
  <c r="C99" i="7"/>
  <c r="C18" i="7"/>
  <c r="D78" i="7"/>
  <c r="C95" i="7"/>
  <c r="E43" i="7"/>
  <c r="D51" i="7"/>
  <c r="D93" i="7"/>
  <c r="E119" i="7"/>
  <c r="E25" i="7"/>
  <c r="D91" i="7"/>
  <c r="E115" i="7"/>
  <c r="C84" i="7"/>
  <c r="E100" i="7"/>
  <c r="C80" i="7"/>
  <c r="C88" i="7"/>
  <c r="E40" i="7"/>
  <c r="D42" i="7"/>
  <c r="D116" i="7"/>
  <c r="E56" i="7"/>
  <c r="C117" i="7"/>
  <c r="E124" i="7"/>
  <c r="E94" i="7"/>
  <c r="D90" i="7"/>
  <c r="E58" i="7"/>
  <c r="D134" i="7"/>
  <c r="C77" i="7"/>
  <c r="E41" i="7"/>
  <c r="E71" i="7"/>
  <c r="C14" i="7"/>
  <c r="E114" i="7"/>
  <c r="D124" i="7"/>
  <c r="D81" i="7"/>
  <c r="D121" i="7"/>
  <c r="E135" i="7"/>
  <c r="D31" i="7"/>
  <c r="C122" i="7"/>
  <c r="D75" i="7"/>
  <c r="E123" i="7"/>
  <c r="E18" i="7"/>
  <c r="C42" i="7"/>
  <c r="C73" i="7"/>
  <c r="D92" i="7"/>
  <c r="D70" i="7"/>
  <c r="D131" i="7"/>
  <c r="C60" i="7"/>
  <c r="C137" i="7"/>
  <c r="C59" i="7"/>
  <c r="E117" i="7"/>
  <c r="E120" i="7"/>
  <c r="D99" i="7"/>
  <c r="C100" i="7"/>
  <c r="E85" i="7"/>
  <c r="D22" i="7"/>
  <c r="C74" i="7"/>
  <c r="E106" i="7"/>
  <c r="C54" i="7"/>
  <c r="C86" i="7"/>
  <c r="C13" i="7"/>
  <c r="D76" i="7"/>
  <c r="E46" i="7"/>
  <c r="D101" i="7"/>
  <c r="D86" i="7"/>
  <c r="D19" i="7"/>
  <c r="C81" i="7"/>
  <c r="C126" i="7"/>
  <c r="C92" i="7"/>
  <c r="C128" i="7"/>
  <c r="E105" i="7"/>
  <c r="C119" i="7"/>
  <c r="E19" i="7"/>
  <c r="C108" i="7"/>
  <c r="E130" i="7"/>
  <c r="D112" i="7"/>
  <c r="D46" i="7"/>
  <c r="C25" i="7"/>
  <c r="C111" i="7"/>
  <c r="C37" i="7"/>
  <c r="D53" i="7"/>
  <c r="C110" i="7"/>
  <c r="E81" i="7"/>
  <c r="C26" i="7"/>
  <c r="C70" i="7"/>
  <c r="C123" i="7"/>
  <c r="D47" i="7"/>
  <c r="D133" i="7"/>
  <c r="C11" i="7"/>
  <c r="D87" i="7"/>
  <c r="E32" i="7"/>
  <c r="D21" i="7"/>
  <c r="D16" i="7"/>
  <c r="C89" i="7"/>
  <c r="C134" i="7"/>
  <c r="C109" i="7"/>
  <c r="C121" i="7"/>
  <c r="D56" i="7"/>
  <c r="E42" i="7"/>
  <c r="E8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joao</author>
  </authors>
  <commentList>
    <comment ref="C7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Selecione o tipo de tábua biométrica e, em seguida, selecione a tábua que deseja consultar.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Elaine</author>
    <author>caroline</author>
    <author xml:space="preserve"> </author>
    <author>Rita Pasqual Anzolin</author>
  </authors>
  <commentList>
    <comment ref="D10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1996 US Annuity 2000 , Female - 10% suaizada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886</t>
        </r>
      </text>
    </comment>
    <comment ref="E10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1996 US Annuity 2000, Male - 10% suavizada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887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1996 US Annuity 2000 Basic, Female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884</t>
        </r>
      </text>
    </comment>
    <comment ref="G10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1996 US Annuity 2000 Basic,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885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0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1949 US a-1949, Female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807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0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1949 US a-1949, Male
</t>
        </r>
        <r>
          <rPr>
            <b/>
            <sz val="8"/>
            <color indexed="81"/>
            <rFont val="Tahoma"/>
            <family val="2"/>
          </rPr>
          <t>Table number:</t>
        </r>
        <r>
          <rPr>
            <sz val="8"/>
            <color indexed="81"/>
            <rFont val="Tahoma"/>
            <family val="2"/>
          </rPr>
          <t xml:space="preserve"> 808
</t>
        </r>
      </text>
    </comment>
    <comment ref="M10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1983 US(IAM) Basic, Female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 xml:space="preserve">823
</t>
        </r>
      </text>
    </comment>
    <comment ref="N10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1983 US IAM, Female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829</t>
        </r>
      </text>
    </comment>
    <comment ref="O10" authorId="0" shapeId="0" xr:uid="{00000000-0006-0000-0200-000009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1983 US (IAM) Basic,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 xml:space="preserve">824
</t>
        </r>
      </text>
    </comment>
    <comment ref="P10" authorId="0" shapeId="0" xr:uid="{00000000-0006-0000-0200-00000A000000}">
      <text>
        <r>
          <rPr>
            <b/>
            <sz val="8"/>
            <color indexed="81"/>
            <rFont val="Tahoma"/>
            <family val="2"/>
          </rPr>
          <t>Table name:</t>
        </r>
        <r>
          <rPr>
            <sz val="8"/>
            <color indexed="81"/>
            <rFont val="Tahoma"/>
            <family val="2"/>
          </rPr>
          <t xml:space="preserve"> 1983 US IAM, Male
</t>
        </r>
        <r>
          <rPr>
            <b/>
            <sz val="8"/>
            <color indexed="81"/>
            <rFont val="Tahoma"/>
            <family val="2"/>
          </rPr>
          <t>Table number</t>
        </r>
        <r>
          <rPr>
            <sz val="8"/>
            <color indexed="81"/>
            <rFont val="Tahoma"/>
            <family val="2"/>
          </rPr>
          <t>: 830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0" authorId="0" shapeId="0" xr:uid="{00000000-0006-0000-0200-00000B000000}">
      <text>
        <r>
          <rPr>
            <b/>
            <sz val="8"/>
            <color indexed="81"/>
            <rFont val="Tahoma"/>
            <family val="2"/>
          </rPr>
          <t>Table name:</t>
        </r>
        <r>
          <rPr>
            <sz val="8"/>
            <color indexed="81"/>
            <rFont val="Tahoma"/>
            <family val="2"/>
          </rPr>
          <t xml:space="preserve"> 1958 US CSO Basic, Age Nearest, Female
</t>
        </r>
        <r>
          <rPr>
            <b/>
            <sz val="8"/>
            <color indexed="81"/>
            <rFont val="Tahoma"/>
            <family val="2"/>
          </rPr>
          <t>Table number:</t>
        </r>
        <r>
          <rPr>
            <sz val="8"/>
            <color indexed="81"/>
            <rFont val="Tahoma"/>
            <family val="2"/>
          </rPr>
          <t xml:space="preserve"> 14
</t>
        </r>
      </text>
    </comment>
    <comment ref="AK10" authorId="0" shapeId="0" xr:uid="{00000000-0006-0000-0200-00000C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1958 US CSO Basic, Age Nearest,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0" authorId="0" shapeId="0" xr:uid="{00000000-0006-0000-0200-00000D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1971 US GAM, Female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0" authorId="0" shapeId="0" xr:uid="{00000000-0006-0000-0200-00000E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1971 US GAM,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818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0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 xml:space="preserve">Table Name: </t>
        </r>
        <r>
          <rPr>
            <sz val="9"/>
            <color indexed="81"/>
            <rFont val="Tahoma"/>
            <family val="2"/>
          </rPr>
          <t xml:space="preserve">1983 US GAM, Female
</t>
        </r>
        <r>
          <rPr>
            <b/>
            <sz val="9"/>
            <color indexed="81"/>
            <rFont val="Tahoma"/>
            <family val="2"/>
          </rPr>
          <t xml:space="preserve">Table Number: </t>
        </r>
        <r>
          <rPr>
            <sz val="9"/>
            <color indexed="81"/>
            <rFont val="Tahoma"/>
            <family val="2"/>
          </rPr>
          <t>825</t>
        </r>
      </text>
    </comment>
    <comment ref="AQ10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 xml:space="preserve">Table Name: </t>
        </r>
        <r>
          <rPr>
            <sz val="9"/>
            <color indexed="81"/>
            <rFont val="Tahoma"/>
            <family val="2"/>
          </rPr>
          <t>1983 US GAM Basic, Female</t>
        </r>
        <r>
          <rPr>
            <b/>
            <sz val="9"/>
            <color indexed="81"/>
            <rFont val="Tahoma"/>
            <family val="2"/>
          </rPr>
          <t xml:space="preserve">
Table Number: </t>
        </r>
        <r>
          <rPr>
            <sz val="9"/>
            <color indexed="81"/>
            <rFont val="Tahoma"/>
            <family val="2"/>
          </rPr>
          <t xml:space="preserve">827
</t>
        </r>
      </text>
    </comment>
    <comment ref="AR10" authorId="1" shapeId="0" xr:uid="{00000000-0006-0000-0200-000011000000}">
      <text>
        <r>
          <rPr>
            <b/>
            <sz val="9"/>
            <color indexed="81"/>
            <rFont val="Tahoma"/>
            <family val="2"/>
          </rPr>
          <t xml:space="preserve">Table Name: </t>
        </r>
        <r>
          <rPr>
            <sz val="9"/>
            <color indexed="81"/>
            <rFont val="Tahoma"/>
            <family val="2"/>
          </rPr>
          <t>1983 US GAM Basic, male</t>
        </r>
        <r>
          <rPr>
            <b/>
            <sz val="9"/>
            <color indexed="81"/>
            <rFont val="Tahoma"/>
            <family val="2"/>
          </rPr>
          <t xml:space="preserve">
Table Number: </t>
        </r>
        <r>
          <rPr>
            <sz val="9"/>
            <color indexed="81"/>
            <rFont val="Tahoma"/>
            <family val="2"/>
          </rPr>
          <t xml:space="preserve">828
</t>
        </r>
      </text>
    </comment>
    <comment ref="AS10" authorId="1" shapeId="0" xr:uid="{00000000-0006-0000-0200-000012000000}">
      <text>
        <r>
          <rPr>
            <b/>
            <sz val="9"/>
            <color indexed="81"/>
            <rFont val="Tahoma"/>
            <family val="2"/>
          </rPr>
          <t xml:space="preserve">Table Name: </t>
        </r>
        <r>
          <rPr>
            <sz val="9"/>
            <color indexed="81"/>
            <rFont val="Tahoma"/>
            <family val="2"/>
          </rPr>
          <t xml:space="preserve">1983 US GAM, Male
</t>
        </r>
        <r>
          <rPr>
            <b/>
            <sz val="9"/>
            <color indexed="81"/>
            <rFont val="Tahoma"/>
            <family val="2"/>
          </rPr>
          <t xml:space="preserve">Table Number: </t>
        </r>
        <r>
          <rPr>
            <sz val="9"/>
            <color indexed="81"/>
            <rFont val="Tahoma"/>
            <family val="2"/>
          </rPr>
          <t>826</t>
        </r>
      </text>
    </comment>
    <comment ref="AT10" authorId="0" shapeId="0" xr:uid="{00000000-0006-0000-0200-000013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1994 US GAM Static Female
</t>
        </r>
        <r>
          <rPr>
            <b/>
            <sz val="8"/>
            <color indexed="81"/>
            <rFont val="Tahoma"/>
            <family val="2"/>
          </rPr>
          <t>Table number</t>
        </r>
        <r>
          <rPr>
            <sz val="8"/>
            <color indexed="81"/>
            <rFont val="Tahoma"/>
            <family val="2"/>
          </rPr>
          <t xml:space="preserve">: 834
</t>
        </r>
      </text>
    </comment>
    <comment ref="AU10" authorId="0" shapeId="0" xr:uid="{00000000-0006-0000-0200-000014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1994 US GAM Static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835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0" authorId="0" shapeId="0" xr:uid="{00000000-0006-0000-0200-000015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1995 Switzerland GRF, Group,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981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0" authorId="0" shapeId="0" xr:uid="{00000000-0006-0000-0200-000016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1995 Switzerland GRF, Group, Female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982</t>
        </r>
      </text>
    </comment>
    <comment ref="BD10" authorId="2" shapeId="0" xr:uid="{00000000-0006-0000-0200-000017000000}">
      <text>
        <r>
          <rPr>
            <b/>
            <sz val="8"/>
            <color indexed="81"/>
            <rFont val="Tahoma"/>
            <family val="2"/>
          </rPr>
          <t>Sem considerar a extrapolação das probabilidades de morte acima dos 80 anos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0" authorId="2" shapeId="0" xr:uid="{00000000-0006-0000-0200-000018000000}">
      <text>
        <r>
          <rPr>
            <b/>
            <sz val="8"/>
            <color indexed="81"/>
            <rFont val="Tahoma"/>
            <family val="2"/>
          </rPr>
          <t>Sem considerar a extrapolação das probabilidades de morte acima dos 80 anos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F10" authorId="2" shapeId="0" xr:uid="{00000000-0006-0000-0200-000019000000}">
      <text>
        <r>
          <rPr>
            <b/>
            <sz val="8"/>
            <color indexed="81"/>
            <rFont val="Tahoma"/>
            <family val="2"/>
          </rPr>
          <t>Sem considerar a extrapolação das probabilidades de morte acima dos 80 anos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0" authorId="2" shapeId="0" xr:uid="{00000000-0006-0000-0200-00001A000000}">
      <text>
        <r>
          <rPr>
            <b/>
            <sz val="8"/>
            <color indexed="81"/>
            <rFont val="Tahoma"/>
            <family val="2"/>
          </rPr>
          <t>Sem considerar a extrapolação das probabilidades de morte acima dos 80 anos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0" authorId="0" shapeId="0" xr:uid="{00000000-0006-0000-0200-00001B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RP-2000 Female Combined Healthy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991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K10" authorId="0" shapeId="0" xr:uid="{00000000-0006-0000-0200-00001C000000}">
      <text>
        <r>
          <rPr>
            <b/>
            <sz val="8"/>
            <color indexed="81"/>
            <rFont val="Tahoma"/>
            <family val="2"/>
          </rPr>
          <t>Table name:</t>
        </r>
        <r>
          <rPr>
            <sz val="8"/>
            <color indexed="81"/>
            <rFont val="Tahoma"/>
            <family val="2"/>
          </rPr>
          <t xml:space="preserve"> RP-2000 Male Combined Healthy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987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0" authorId="0" shapeId="0" xr:uid="{00000000-0006-0000-0200-00001D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1994 US UP-94, Female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832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S10" authorId="0" shapeId="0" xr:uid="{00000000-0006-0000-0200-00001E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1994 US UP-94,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833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H10" authorId="2" shapeId="0" xr:uid="{00000000-0006-0000-0200-00001F000000}">
      <text>
        <r>
          <rPr>
            <b/>
            <sz val="8"/>
            <color indexed="81"/>
            <rFont val="Tahoma"/>
            <family val="2"/>
          </rPr>
          <t xml:space="preserve"> Corresponde a tábua ao lado com taxas ajustadas a partir de 69 anos para que suavemente cheguem a 78 com taxa de mortalidade geral da tabela Hm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S10" authorId="3" shapeId="0" xr:uid="{00000000-0006-0000-0200-000020000000}">
      <text>
        <r>
          <rPr>
            <sz val="8"/>
            <color indexed="81"/>
            <rFont val="Tahoma"/>
            <family val="2"/>
          </rPr>
          <t xml:space="preserve">elaboração Tese mestrado Marilia Miranda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Elaine</author>
    <author>caroline</author>
  </authors>
  <commentList>
    <comment ref="B9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1996 US Annuity 2000 , Female - 10% suaizada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886</t>
        </r>
      </text>
    </comment>
    <comment ref="B10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1996 US Annuity 2000, Male - 10% suavizada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887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1996 US Annuity 2000 Basic, Female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884</t>
        </r>
      </text>
    </comment>
    <comment ref="B12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1996 US Annuity 2000 Basic,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885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4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1949 US a-1949, Female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807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5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1949 US a-1949, Male
</t>
        </r>
        <r>
          <rPr>
            <b/>
            <sz val="8"/>
            <color indexed="81"/>
            <rFont val="Tahoma"/>
            <family val="2"/>
          </rPr>
          <t>Table number:</t>
        </r>
        <r>
          <rPr>
            <sz val="8"/>
            <color indexed="81"/>
            <rFont val="Tahoma"/>
            <family val="2"/>
          </rPr>
          <t xml:space="preserve"> 808
</t>
        </r>
      </text>
    </comment>
    <comment ref="B19" authorId="0" shapeId="0" xr:uid="{00000000-0006-0000-0300-000007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1983 US GAM Basic, Female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827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1983 US IAM, Female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829</t>
        </r>
      </text>
    </comment>
    <comment ref="B21" authorId="0" shapeId="0" xr:uid="{00000000-0006-0000-0300-000009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1983 US GAM Basic,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828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Table name:</t>
        </r>
        <r>
          <rPr>
            <sz val="8"/>
            <color indexed="81"/>
            <rFont val="Tahoma"/>
            <family val="2"/>
          </rPr>
          <t xml:space="preserve"> 1983 US IAM, Male
</t>
        </r>
        <r>
          <rPr>
            <b/>
            <sz val="8"/>
            <color indexed="81"/>
            <rFont val="Tahoma"/>
            <family val="2"/>
          </rPr>
          <t>Table number</t>
        </r>
        <r>
          <rPr>
            <sz val="8"/>
            <color indexed="81"/>
            <rFont val="Tahoma"/>
            <family val="2"/>
          </rPr>
          <t>: 830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4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Table name:</t>
        </r>
        <r>
          <rPr>
            <sz val="8"/>
            <color indexed="81"/>
            <rFont val="Tahoma"/>
            <family val="2"/>
          </rPr>
          <t xml:space="preserve"> 1958 US CSO Basic, Age Nearest, Female
</t>
        </r>
        <r>
          <rPr>
            <b/>
            <sz val="8"/>
            <color indexed="81"/>
            <rFont val="Tahoma"/>
            <family val="2"/>
          </rPr>
          <t>Table number:</t>
        </r>
        <r>
          <rPr>
            <sz val="8"/>
            <color indexed="81"/>
            <rFont val="Tahoma"/>
            <family val="2"/>
          </rPr>
          <t xml:space="preserve"> 14
</t>
        </r>
      </text>
    </comment>
    <comment ref="B35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1958 US CSO Basic, Age Nearest,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13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8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1971 US GAM, Female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817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9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1971 US GAM,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818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0" authorId="1" shapeId="0" xr:uid="{00000000-0006-0000-0300-00000F000000}">
      <text>
        <r>
          <rPr>
            <b/>
            <sz val="9"/>
            <color indexed="81"/>
            <rFont val="Tahoma"/>
            <family val="2"/>
          </rPr>
          <t xml:space="preserve">Table Name: </t>
        </r>
        <r>
          <rPr>
            <sz val="9"/>
            <color indexed="81"/>
            <rFont val="Tahoma"/>
            <family val="2"/>
          </rPr>
          <t xml:space="preserve">1983 US GAM, Female
</t>
        </r>
        <r>
          <rPr>
            <b/>
            <sz val="9"/>
            <color indexed="81"/>
            <rFont val="Tahoma"/>
            <family val="2"/>
          </rPr>
          <t xml:space="preserve">Table Number: </t>
        </r>
        <r>
          <rPr>
            <sz val="9"/>
            <color indexed="81"/>
            <rFont val="Tahoma"/>
            <family val="2"/>
          </rPr>
          <t>825</t>
        </r>
      </text>
    </comment>
    <comment ref="B45" authorId="1" shapeId="0" xr:uid="{00000000-0006-0000-0300-000010000000}">
      <text>
        <r>
          <rPr>
            <b/>
            <sz val="9"/>
            <color indexed="81"/>
            <rFont val="Tahoma"/>
            <family val="2"/>
          </rPr>
          <t xml:space="preserve">Table Name: </t>
        </r>
        <r>
          <rPr>
            <sz val="9"/>
            <color indexed="81"/>
            <rFont val="Tahoma"/>
            <family val="2"/>
          </rPr>
          <t>1983 US GAM Basic, Female</t>
        </r>
        <r>
          <rPr>
            <b/>
            <sz val="9"/>
            <color indexed="81"/>
            <rFont val="Tahoma"/>
            <family val="2"/>
          </rPr>
          <t xml:space="preserve">
Table Number: </t>
        </r>
        <r>
          <rPr>
            <sz val="9"/>
            <color indexed="81"/>
            <rFont val="Tahoma"/>
            <family val="2"/>
          </rPr>
          <t xml:space="preserve">827
</t>
        </r>
      </text>
    </comment>
    <comment ref="B46" authorId="1" shapeId="0" xr:uid="{00000000-0006-0000-0300-000011000000}">
      <text>
        <r>
          <rPr>
            <b/>
            <sz val="9"/>
            <color indexed="81"/>
            <rFont val="Tahoma"/>
            <family val="2"/>
          </rPr>
          <t xml:space="preserve">Table Name: </t>
        </r>
        <r>
          <rPr>
            <sz val="9"/>
            <color indexed="81"/>
            <rFont val="Tahoma"/>
            <family val="2"/>
          </rPr>
          <t>1983 US GAM Basic, male</t>
        </r>
        <r>
          <rPr>
            <b/>
            <sz val="9"/>
            <color indexed="81"/>
            <rFont val="Tahoma"/>
            <family val="2"/>
          </rPr>
          <t xml:space="preserve">
Table Number: </t>
        </r>
        <r>
          <rPr>
            <sz val="9"/>
            <color indexed="81"/>
            <rFont val="Tahoma"/>
            <family val="2"/>
          </rPr>
          <t xml:space="preserve">828
</t>
        </r>
      </text>
    </comment>
    <comment ref="B47" authorId="1" shapeId="0" xr:uid="{00000000-0006-0000-0300-000012000000}">
      <text>
        <r>
          <rPr>
            <b/>
            <sz val="9"/>
            <color indexed="81"/>
            <rFont val="Tahoma"/>
            <family val="2"/>
          </rPr>
          <t xml:space="preserve">Table Name: </t>
        </r>
        <r>
          <rPr>
            <sz val="9"/>
            <color indexed="81"/>
            <rFont val="Tahoma"/>
            <family val="2"/>
          </rPr>
          <t xml:space="preserve">1983 US GAM, Male
</t>
        </r>
        <r>
          <rPr>
            <b/>
            <sz val="9"/>
            <color indexed="81"/>
            <rFont val="Tahoma"/>
            <family val="2"/>
          </rPr>
          <t xml:space="preserve">Table Number: </t>
        </r>
        <r>
          <rPr>
            <sz val="9"/>
            <color indexed="81"/>
            <rFont val="Tahoma"/>
            <family val="2"/>
          </rPr>
          <t>826</t>
        </r>
      </text>
    </comment>
    <comment ref="B48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1994 US GAM Static Female
</t>
        </r>
        <r>
          <rPr>
            <b/>
            <sz val="8"/>
            <color indexed="81"/>
            <rFont val="Tahoma"/>
            <family val="2"/>
          </rPr>
          <t>Table number</t>
        </r>
        <r>
          <rPr>
            <sz val="8"/>
            <color indexed="81"/>
            <rFont val="Tahoma"/>
            <family val="2"/>
          </rPr>
          <t xml:space="preserve">: 834
</t>
        </r>
      </text>
    </comment>
    <comment ref="B49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1994 US GAM Static Female
</t>
        </r>
        <r>
          <rPr>
            <b/>
            <sz val="8"/>
            <color indexed="81"/>
            <rFont val="Tahoma"/>
            <family val="2"/>
          </rPr>
          <t>Table number</t>
        </r>
        <r>
          <rPr>
            <sz val="8"/>
            <color indexed="81"/>
            <rFont val="Tahoma"/>
            <family val="2"/>
          </rPr>
          <t xml:space="preserve">: 834
</t>
        </r>
      </text>
    </comment>
    <comment ref="B50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1994 US GAM Static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835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1" authorId="0" shapeId="0" xr:uid="{00000000-0006-0000-0300-000016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1994 US GAM Static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835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6" authorId="0" shapeId="0" xr:uid="{00000000-0006-0000-0300-000017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1995 Switzerland GRF, Group,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981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7" authorId="0" shapeId="0" xr:uid="{00000000-0006-0000-0300-000018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1995 Switzerland GRF, Group,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981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8" authorId="0" shapeId="0" xr:uid="{00000000-0006-0000-0300-000019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1995 Switzerland GRF, Group, Female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982</t>
        </r>
      </text>
    </comment>
    <comment ref="B59" authorId="0" shapeId="0" xr:uid="{00000000-0006-0000-0300-00001A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1995 Switzerland GRF, Group, Female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982</t>
        </r>
      </text>
    </comment>
    <comment ref="B66" authorId="0" shapeId="0" xr:uid="{00000000-0006-0000-0300-00001B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RP-2000 Female Combined Healthy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991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8" authorId="0" shapeId="0" xr:uid="{00000000-0006-0000-0300-00001C000000}">
      <text>
        <r>
          <rPr>
            <b/>
            <sz val="8"/>
            <color indexed="81"/>
            <rFont val="Tahoma"/>
            <family val="2"/>
          </rPr>
          <t>Table name:</t>
        </r>
        <r>
          <rPr>
            <sz val="8"/>
            <color indexed="81"/>
            <rFont val="Tahoma"/>
            <family val="2"/>
          </rPr>
          <t xml:space="preserve"> RP-2000 Male Combined Healthy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987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7" authorId="0" shapeId="0" xr:uid="{00000000-0006-0000-0300-00001D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1994 US UP-94, Female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832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8" authorId="0" shapeId="0" xr:uid="{00000000-0006-0000-0300-00001E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 xml:space="preserve">1994 US UP-94, Female
</t>
        </r>
        <r>
          <rPr>
            <b/>
            <sz val="8"/>
            <color indexed="81"/>
            <rFont val="Tahoma"/>
            <family val="2"/>
          </rPr>
          <t xml:space="preserve">Table number: </t>
        </r>
        <r>
          <rPr>
            <sz val="8"/>
            <color indexed="81"/>
            <rFont val="Tahoma"/>
            <family val="2"/>
          </rPr>
          <t>832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9" authorId="0" shapeId="0" xr:uid="{00000000-0006-0000-0300-00001F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1994 US UP-94,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833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0" authorId="0" shapeId="0" xr:uid="{00000000-0006-0000-0300-000020000000}">
      <text>
        <r>
          <rPr>
            <b/>
            <sz val="8"/>
            <color indexed="81"/>
            <rFont val="Tahoma"/>
            <family val="2"/>
          </rPr>
          <t xml:space="preserve">Table name: </t>
        </r>
        <r>
          <rPr>
            <sz val="8"/>
            <color indexed="81"/>
            <rFont val="Tahoma"/>
            <family val="2"/>
          </rPr>
          <t>1994 US UP-94, Male</t>
        </r>
        <r>
          <rPr>
            <b/>
            <sz val="8"/>
            <color indexed="81"/>
            <rFont val="Tahoma"/>
            <family val="2"/>
          </rPr>
          <t xml:space="preserve">
Table number: </t>
        </r>
        <r>
          <rPr>
            <sz val="8"/>
            <color indexed="81"/>
            <rFont val="Tahoma"/>
            <family val="2"/>
          </rPr>
          <t>833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Rita Pasqual Anzolin</author>
  </authors>
  <commentList>
    <comment ref="B22" authorId="0" shapeId="0" xr:uid="{00000000-0006-0000-0500-000001000000}">
      <text>
        <r>
          <rPr>
            <sz val="8"/>
            <color indexed="81"/>
            <rFont val="Tahoma"/>
            <family val="2"/>
          </rPr>
          <t xml:space="preserve">elaboração Tese mestrado Marilia Miranda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<sst xmlns="http://schemas.openxmlformats.org/spreadsheetml/2006/main" count="1122" uniqueCount="266">
  <si>
    <t>Table Manager - SOA</t>
  </si>
  <si>
    <t>TÁBUA</t>
  </si>
  <si>
    <t>FONTE</t>
  </si>
  <si>
    <t>AT-2000 FEMALE</t>
  </si>
  <si>
    <t>AT-50</t>
  </si>
  <si>
    <t>AT-55</t>
  </si>
  <si>
    <t>AT-71</t>
  </si>
  <si>
    <t>EB7-75</t>
  </si>
  <si>
    <t>BR-EMSsb-v.2010-m</t>
  </si>
  <si>
    <t>BR-EMSsb-v.2010-f</t>
  </si>
  <si>
    <t>BR-EMSmt-v.2010-m</t>
  </si>
  <si>
    <t>BR-EMSmt-v.2010-f</t>
  </si>
  <si>
    <t>CSO-41</t>
  </si>
  <si>
    <t>CSO-58</t>
  </si>
  <si>
    <t>GAM-94 FEMALE</t>
  </si>
  <si>
    <t>GAM-71 FEMALE</t>
  </si>
  <si>
    <t>GAM-83 Fem</t>
  </si>
  <si>
    <t>GAM-83 Masc</t>
  </si>
  <si>
    <t>GAM-83 Fem Mod</t>
  </si>
  <si>
    <t>GAM-83 Masc Mod</t>
  </si>
  <si>
    <t xml:space="preserve"> 0,0003180</t>
  </si>
  <si>
    <t xml:space="preserve"> 0,0003200</t>
  </si>
  <si>
    <t xml:space="preserve"> 0,0003220</t>
  </si>
  <si>
    <t xml:space="preserve"> 0,0012900</t>
  </si>
  <si>
    <t xml:space="preserve"> 0,0003240</t>
  </si>
  <si>
    <t xml:space="preserve"> 0,0003260</t>
  </si>
  <si>
    <t xml:space="preserve"> 0,0003290</t>
  </si>
  <si>
    <t xml:space="preserve"> 0,0003420</t>
  </si>
  <si>
    <t xml:space="preserve"> 0,0003660</t>
  </si>
  <si>
    <t xml:space="preserve"> 0,0003950</t>
  </si>
  <si>
    <t xml:space="preserve"> 0,0004250</t>
  </si>
  <si>
    <t xml:space="preserve"> 0,0004540</t>
  </si>
  <si>
    <t xml:space="preserve"> 0,0004840</t>
  </si>
  <si>
    <t xml:space="preserve"> 0,0005140</t>
  </si>
  <si>
    <t xml:space="preserve"> 0,0005460</t>
  </si>
  <si>
    <t xml:space="preserve"> 0,0005780</t>
  </si>
  <si>
    <t xml:space="preserve"> 0,0006120</t>
  </si>
  <si>
    <t xml:space="preserve"> 0,0006480</t>
  </si>
  <si>
    <t xml:space="preserve"> 0,0006870</t>
  </si>
  <si>
    <t xml:space="preserve"> 0,0007270</t>
  </si>
  <si>
    <t xml:space="preserve"> 0,0007710</t>
  </si>
  <si>
    <t xml:space="preserve"> 0,0008170</t>
  </si>
  <si>
    <t xml:space="preserve"> 0,0008670</t>
  </si>
  <si>
    <t xml:space="preserve"> 0,0009190</t>
  </si>
  <si>
    <t xml:space="preserve"> 0,0009730</t>
  </si>
  <si>
    <t xml:space="preserve"> 0,0010280</t>
  </si>
  <si>
    <t xml:space="preserve"> 0,0010820</t>
  </si>
  <si>
    <t xml:space="preserve"> 0,0011360</t>
  </si>
  <si>
    <t xml:space="preserve"> 0,0011880</t>
  </si>
  <si>
    <t xml:space="preserve"> 0,0012380</t>
  </si>
  <si>
    <t xml:space="preserve"> 0,0013480</t>
  </si>
  <si>
    <t xml:space="preserve"> 0,0014160</t>
  </si>
  <si>
    <t xml:space="preserve"> 0,0014920</t>
  </si>
  <si>
    <t xml:space="preserve"> 0,0015700</t>
  </si>
  <si>
    <t xml:space="preserve"> 0,0016530</t>
  </si>
  <si>
    <t xml:space="preserve"> 0,0017420</t>
  </si>
  <si>
    <t xml:space="preserve"> 0,0018390</t>
  </si>
  <si>
    <t xml:space="preserve"> 0,0019450</t>
  </si>
  <si>
    <t xml:space="preserve"> 0,0020630</t>
  </si>
  <si>
    <t xml:space="preserve"> 0,0021940</t>
  </si>
  <si>
    <t xml:space="preserve"> 0,0023400</t>
  </si>
  <si>
    <t xml:space="preserve"> 0,0025010</t>
  </si>
  <si>
    <t xml:space="preserve"> 0,0026810</t>
  </si>
  <si>
    <t xml:space="preserve"> 0,0028800</t>
  </si>
  <si>
    <t xml:space="preserve"> 0,0031010</t>
  </si>
  <si>
    <t xml:space="preserve"> 0,0033450</t>
  </si>
  <si>
    <t xml:space="preserve"> 0,0035910</t>
  </si>
  <si>
    <t xml:space="preserve"> 0,0038420</t>
  </si>
  <si>
    <t xml:space="preserve"> 0,0041260</t>
  </si>
  <si>
    <t xml:space="preserve"> 0,0044740</t>
  </si>
  <si>
    <t xml:space="preserve"> 0,0049090</t>
  </si>
  <si>
    <t xml:space="preserve"> 0,0054480</t>
  </si>
  <si>
    <t xml:space="preserve"> 0,0060830</t>
  </si>
  <si>
    <t xml:space="preserve"> 0,0067950</t>
  </si>
  <si>
    <t xml:space="preserve"> 0,0075720</t>
  </si>
  <si>
    <t xml:space="preserve"> 0,0083980</t>
  </si>
  <si>
    <t xml:space="preserve"> 0,0092620</t>
  </si>
  <si>
    <t xml:space="preserve"> 0,0101510</t>
  </si>
  <si>
    <t xml:space="preserve"> 0,0110540</t>
  </si>
  <si>
    <t xml:space="preserve"> 0,0119610</t>
  </si>
  <si>
    <t xml:space="preserve"> 0,0128780</t>
  </si>
  <si>
    <t xml:space="preserve"> 0,0138680</t>
  </si>
  <si>
    <t xml:space="preserve"> 0,0150040</t>
  </si>
  <si>
    <t xml:space="preserve"> 0,0163520</t>
  </si>
  <si>
    <t xml:space="preserve"> 0,0179720</t>
  </si>
  <si>
    <t xml:space="preserve"> 0,0199170</t>
  </si>
  <si>
    <t xml:space="preserve"> 0,0222370</t>
  </si>
  <si>
    <t xml:space="preserve"> 0,0249760</t>
  </si>
  <si>
    <t xml:space="preserve"> 0,0281520</t>
  </si>
  <si>
    <t xml:space="preserve"> 0,0317130</t>
  </si>
  <si>
    <t xml:space="preserve"> 0,0355900</t>
  </si>
  <si>
    <t xml:space="preserve"> 0,0397200</t>
  </si>
  <si>
    <t xml:space="preserve"> 0,0440410</t>
  </si>
  <si>
    <t xml:space="preserve"> 0,0485010</t>
  </si>
  <si>
    <t xml:space="preserve"> 0,0530470</t>
  </si>
  <si>
    <t xml:space="preserve"> 0,0576330</t>
  </si>
  <si>
    <t xml:space="preserve"> 0,0622140</t>
  </si>
  <si>
    <t xml:space="preserve"> 0,0668050</t>
  </si>
  <si>
    <t xml:space="preserve"> 0,0716260</t>
  </si>
  <si>
    <t xml:space="preserve"> 0,0769320</t>
  </si>
  <si>
    <t xml:space="preserve"> 0,0829520</t>
  </si>
  <si>
    <t xml:space="preserve"> 0,0896960</t>
  </si>
  <si>
    <t xml:space="preserve"> 0,0970250</t>
  </si>
  <si>
    <t xml:space="preserve"> 0,1049410</t>
  </si>
  <si>
    <t xml:space="preserve"> 0,1134440</t>
  </si>
  <si>
    <t xml:space="preserve"> 0,1225320</t>
  </si>
  <si>
    <t xml:space="preserve"> 0,1322070</t>
  </si>
  <si>
    <t xml:space="preserve"> 0,1424680</t>
  </si>
  <si>
    <t xml:space="preserve"> 0,1533160</t>
  </si>
  <si>
    <t xml:space="preserve"> 0,1647500</t>
  </si>
  <si>
    <t xml:space="preserve"> 0,1767700</t>
  </si>
  <si>
    <t xml:space="preserve"> 0,1893770</t>
  </si>
  <si>
    <t xml:space="preserve"> 0,2025700</t>
  </si>
  <si>
    <t xml:space="preserve"> 0,2163490</t>
  </si>
  <si>
    <t xml:space="preserve"> 0,2307150</t>
  </si>
  <si>
    <t xml:space="preserve"> 0,2456670</t>
  </si>
  <si>
    <t xml:space="preserve"> 0,2612050</t>
  </si>
  <si>
    <t xml:space="preserve"> 0,2773300</t>
  </si>
  <si>
    <t xml:space="preserve"> 0,2940410</t>
  </si>
  <si>
    <t xml:space="preserve"> 0,3113380</t>
  </si>
  <si>
    <t xml:space="preserve"> 0,3292220</t>
  </si>
  <si>
    <t xml:space="preserve"> 0,3476920</t>
  </si>
  <si>
    <t xml:space="preserve"> 0,3667480</t>
  </si>
  <si>
    <t xml:space="preserve"> 0,3863910</t>
  </si>
  <si>
    <t xml:space="preserve"> 0,4066200</t>
  </si>
  <si>
    <t xml:space="preserve"> 0,4274350</t>
  </si>
  <si>
    <t xml:space="preserve"> 0,4488370</t>
  </si>
  <si>
    <t xml:space="preserve"> 0,4708250</t>
  </si>
  <si>
    <t xml:space="preserve"> 0,4933990</t>
  </si>
  <si>
    <t xml:space="preserve"> 0,5165590</t>
  </si>
  <si>
    <t xml:space="preserve"> 0,5403070</t>
  </si>
  <si>
    <t xml:space="preserve"> 1,0000000</t>
  </si>
  <si>
    <t>RP-2000 FEMALE</t>
  </si>
  <si>
    <t>RP-2000 MEDIA</t>
  </si>
  <si>
    <t>UP-84 F</t>
  </si>
  <si>
    <t>UP-84 M</t>
  </si>
  <si>
    <t>AMERICAN EXPERIENCE</t>
  </si>
  <si>
    <t>SGB-51</t>
  </si>
  <si>
    <t>SGB-71</t>
  </si>
  <si>
    <t>SGB-75</t>
  </si>
  <si>
    <t>HUNTER SEMITROPICAL</t>
  </si>
  <si>
    <t>RENTIERS FRANCAIS</t>
  </si>
  <si>
    <t>GRUPAL AMERICANA</t>
  </si>
  <si>
    <t>USTP-61</t>
  </si>
  <si>
    <t>GKM-70</t>
  </si>
  <si>
    <t>GKM-80</t>
  </si>
  <si>
    <t>ALLG-72</t>
  </si>
  <si>
    <t>CSG-60</t>
  </si>
  <si>
    <t>Prudential-50</t>
  </si>
  <si>
    <t>Rentiers Français</t>
  </si>
  <si>
    <t>X-17</t>
  </si>
  <si>
    <t>GKM-95</t>
  </si>
  <si>
    <t>GKF-95</t>
  </si>
  <si>
    <t>IAPC</t>
  </si>
  <si>
    <t>WINKLEVOSS</t>
  </si>
  <si>
    <t>BENTZIEN</t>
  </si>
  <si>
    <t>AT-2000 MEDIA</t>
  </si>
  <si>
    <t>RP-2000 DISABLED FEMALE</t>
  </si>
  <si>
    <t>RP-2000 DISABLED MALE</t>
  </si>
  <si>
    <t>IAPB 57 (AJUST/ITAU)</t>
  </si>
  <si>
    <t>ZIMMERMANN (FERR. ALEMAES)</t>
  </si>
  <si>
    <t>IAPB-57 Forte</t>
  </si>
  <si>
    <t>IAPB 57 Fraca</t>
  </si>
  <si>
    <t>RRB-44</t>
  </si>
  <si>
    <t>Experiência CAP</t>
  </si>
  <si>
    <t>ALVARO VINDAS</t>
  </si>
  <si>
    <t>LIGHT MEDIA</t>
  </si>
  <si>
    <t>HUNTERS</t>
  </si>
  <si>
    <t>ZIMMERMANN</t>
  </si>
  <si>
    <t>IAPB-57 FORTE</t>
  </si>
  <si>
    <t>IAPB-57 FRACA</t>
  </si>
  <si>
    <t>IBA FERROVIARIOS</t>
  </si>
  <si>
    <t>MULLER</t>
  </si>
  <si>
    <t xml:space="preserve">WYATT 1985 </t>
  </si>
  <si>
    <t>RGPS-99/02 M.M</t>
  </si>
  <si>
    <t>GRUPO AMERICANA</t>
  </si>
  <si>
    <t>TASA-1927</t>
  </si>
  <si>
    <t>PRUDENTIAL (FERR. APOSENT.)</t>
  </si>
  <si>
    <t>HUNTER'S</t>
  </si>
  <si>
    <t>RRB-1944 Mod - Masc</t>
  </si>
  <si>
    <t>RRB-1944 Mod - Fem</t>
  </si>
  <si>
    <t>ALVARO VINDAS AJUST</t>
  </si>
  <si>
    <t>ZIMMERMANN EMPR. ESCRIT</t>
  </si>
  <si>
    <t>Kinkelin</t>
  </si>
  <si>
    <t>Moser</t>
  </si>
  <si>
    <t>IBGE 2007</t>
  </si>
  <si>
    <t>Hubbard Laffitte</t>
  </si>
  <si>
    <t>Atuários Ingleses</t>
  </si>
  <si>
    <t>Samuel Dumas</t>
  </si>
  <si>
    <t>J.P. Jansen</t>
  </si>
  <si>
    <t>LIGHT FORTE</t>
  </si>
  <si>
    <t>TASA/1927</t>
  </si>
  <si>
    <t>IBA (FERROVIARIOS)</t>
  </si>
  <si>
    <t>TIPO</t>
  </si>
  <si>
    <t>AT-2000 MALE</t>
  </si>
  <si>
    <t>AT-49 MALE</t>
  </si>
  <si>
    <t>AT-49 FEMALE</t>
  </si>
  <si>
    <t>AT-83 FEMALE (Basic)</t>
  </si>
  <si>
    <t>AT-83 FEMALE (IAM)</t>
  </si>
  <si>
    <t>AT-83 MALE (Basic)</t>
  </si>
  <si>
    <t>AT-83 MALE (IAM)</t>
  </si>
  <si>
    <t>Entrada em Invalidez</t>
  </si>
  <si>
    <t>Auxílio-Doença (dias)</t>
  </si>
  <si>
    <t>Mortalidade de Inválidos</t>
  </si>
  <si>
    <t>Mortalidade Geral</t>
  </si>
  <si>
    <t>GAM83_BÁSICA - FEMALE</t>
  </si>
  <si>
    <t xml:space="preserve"> </t>
  </si>
  <si>
    <t>GAM-94MALE</t>
  </si>
  <si>
    <t>GR-95 MALE</t>
  </si>
  <si>
    <t>GR-95FEMALE</t>
  </si>
  <si>
    <t>RP-2000MALE</t>
  </si>
  <si>
    <t>UP-94 MALE</t>
  </si>
  <si>
    <t>UP-94 FEMALE</t>
  </si>
  <si>
    <t>GAM-83 - FEMALE</t>
  </si>
  <si>
    <t>UP84_MAS_&amp;_FEM</t>
  </si>
  <si>
    <t>AT2000 (Suavizada 10%)_MAS</t>
  </si>
  <si>
    <t>CSO58 - MAS - AGE NEAREST</t>
  </si>
  <si>
    <t>Tese Mestrado Marília Miranda</t>
  </si>
  <si>
    <t>AUXÍLIO-DOENÇA (Dias)</t>
  </si>
  <si>
    <t>ENTRADA EM INVALIDEZ (ix)</t>
  </si>
  <si>
    <t>MORTALIDADE DE INVÁLIDOS (qix)</t>
  </si>
  <si>
    <t>MORTALIDADE GERAL (qx)</t>
  </si>
  <si>
    <t>AT2000 (Suavizada 10%)_FEM</t>
  </si>
  <si>
    <t>CSO58 FEMALE</t>
  </si>
  <si>
    <t>CSO58 MALE</t>
  </si>
  <si>
    <t>CSO80</t>
  </si>
  <si>
    <t>CSO58 - FEM - AGE LAST</t>
  </si>
  <si>
    <t>CSO58 - FEM - AGE NEAREST</t>
  </si>
  <si>
    <t>CSO58 - MAS - AGE LAST</t>
  </si>
  <si>
    <t>GAM-71 MALE</t>
  </si>
  <si>
    <t>GAM83_BÁSICA - MASC</t>
  </si>
  <si>
    <t>OK, CONFERE COM A TÁBUA DO SOA TABLE MANAGER E FOI INSERIDO A FONTE E NUMERO CORRESPONDENTE</t>
  </si>
  <si>
    <t>EXCLUIR, POIS ESTÁ DUPLICADO E OS QX DIFERENTES DA TÁBUA OFICIAL</t>
  </si>
  <si>
    <t>GAM-83 - MASC</t>
  </si>
  <si>
    <t>DISCUTIR A MANUTENÇÃO OU EXCLUSÃO</t>
  </si>
  <si>
    <t>SEM ORIGEM</t>
  </si>
  <si>
    <t>MORTALIDADE GERAL</t>
  </si>
  <si>
    <t>MORTALIDADE DE INVÁLIDOS</t>
  </si>
  <si>
    <t>ENTRADA EM INVALIDEZ</t>
  </si>
  <si>
    <t>MORBIDEZ</t>
  </si>
  <si>
    <t>TÁBUA:</t>
  </si>
  <si>
    <t>FONTE:</t>
  </si>
  <si>
    <t>TIPO DA TÁBUA:</t>
  </si>
  <si>
    <t>Circular SUSEP 402/2010</t>
  </si>
  <si>
    <t>GAM-83 - FEMALE (suav 10%)</t>
  </si>
  <si>
    <t>GAM-83 - MASC (suav 10%)</t>
  </si>
  <si>
    <t>IBGE</t>
  </si>
  <si>
    <t>IBGE 2007                 Ambos os Sexos</t>
  </si>
  <si>
    <t>IBGE 2006              Ambos os Sexos</t>
  </si>
  <si>
    <t>IBGE 2008                 Ambos os Sexos</t>
  </si>
  <si>
    <t>IBGE 2009                 Ambos os Sexos</t>
  </si>
  <si>
    <t>BR-EMSmt-v.2015-f</t>
  </si>
  <si>
    <t>BR-EMSmt-v.2015-m</t>
  </si>
  <si>
    <t>BR-EMSsb-v.2015-f</t>
  </si>
  <si>
    <t>BR-EMSsb-v.2015-m</t>
  </si>
  <si>
    <t>Circular SUSEP 515/2015</t>
  </si>
  <si>
    <t>BR-EMSmt-v.2021-f</t>
  </si>
  <si>
    <t>BR-EMSmt-v.2021-m</t>
  </si>
  <si>
    <t>BR-EMSsb-v.2021-f</t>
  </si>
  <si>
    <t>BR-EMSsb-v.2021-m</t>
  </si>
  <si>
    <t>Circular SUSEP XXX/2021</t>
  </si>
  <si>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>Esclarecemos que os valores apresentados correspondem as probabilidades do respectivo decremento (morte de válidos, morte de inválidos, entrada em invalidez e morbidez).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</si>
  <si>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Esclarecemos que as tábuas sem a informação FONTE correspondem àquelas disponíveis no mercado brasileiro.</t>
    </r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</si>
  <si>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O IBA não orienta a tábua que deve ser utilizada pelo atuário. Porém, recomenda a utilização de tábuas com fontes conhecidas, seguindo, obviamente, a adequação da mesma à população envolvida ou ao cálculo pretendido. Para determinar a tábua mais apropriada, o IBA recomenda a realização do estudo de aderência de hipóteses.</t>
    </r>
  </si>
  <si>
    <r>
      <rPr>
        <b/>
        <sz val="11"/>
        <color theme="1"/>
        <rFont val="Calibri"/>
        <family val="2"/>
        <scheme val="minor"/>
      </rPr>
      <t xml:space="preserve">4. </t>
    </r>
    <r>
      <rPr>
        <sz val="11"/>
        <color theme="1"/>
        <rFont val="Calibri"/>
        <family val="2"/>
        <scheme val="minor"/>
      </rPr>
      <t xml:space="preserve">Este Banco de Tábuas Biométricas é uma cortesia do IBA e deverá ser utilizado para simples consulta. </t>
    </r>
  </si>
  <si>
    <t xml:space="preserve">  BANCO DE TÁBUAS BIOMÉTRICAS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</si>
</sst>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00"/>
    <numFmt numFmtId="165" formatCode="0.0000000"/>
  </numFmts>
  <fonts count="27"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@Arial Unicode MS"/>
    </font>
    <font>
      <sz val="11"/>
      <color indexed="8"/>
      <name val="Calibri"/>
      <family val="2"/>
    </font>
    <font>
      <sz val="11"/>
      <name val="Calibri"/>
      <family val="2"/>
    </font>
    <font>
      <b/>
      <sz val="14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40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36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3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5">
    <xf numFmtId="0" fontId="0" fillId="0" borderId="0"/>
    <xf numFmtId="0" fontId="3" fillId="0" borderId="0"/>
    <xf numFmtId="0" fontId="9" fillId="0" borderId="0">
      <alignment vertical="center"/>
    </xf>
    <xf numFmtId="43" fontId="4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110">
    <xf numFmtId="0" fontId="0" fillId="0" borderId="0" xfId="0"/>
    <xf numFmtId="0" fontId="5" fillId="0" borderId="0" xfId="0" applyFont="1"/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left" vertical="center" wrapText="1"/>
    </xf>
    <xf numFmtId="0" fontId="5" fillId="0" borderId="1" xfId="1" applyFont="1" applyBorder="1" applyAlignment="1">
      <alignment horizontal="center"/>
    </xf>
    <xf numFmtId="164" fontId="5" fillId="2" borderId="1" xfId="0" applyNumberFormat="1" applyFont="1" applyFill="1" applyBorder="1" applyAlignment="1">
      <alignment horizontal="left"/>
    </xf>
    <xf numFmtId="164" fontId="5" fillId="2" borderId="1" xfId="0" applyNumberFormat="1" applyFont="1" applyFill="1" applyBorder="1" applyAlignment="1">
      <alignment horizontal="center"/>
    </xf>
    <xf numFmtId="0" fontId="5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/>
    </xf>
    <xf numFmtId="164" fontId="5" fillId="2" borderId="1" xfId="0" applyNumberFormat="1" applyFont="1" applyFill="1" applyBorder="1" applyAlignment="1">
      <alignment horizontal="center" vertical="center"/>
    </xf>
    <xf numFmtId="164" fontId="5" fillId="2" borderId="1" xfId="3" applyNumberFormat="1" applyFont="1" applyFill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164" fontId="5" fillId="0" borderId="1" xfId="1" applyNumberFormat="1" applyFont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center" vertical="center" wrapText="1"/>
    </xf>
    <xf numFmtId="164" fontId="5" fillId="3" borderId="1" xfId="0" applyNumberFormat="1" applyFont="1" applyFill="1" applyBorder="1" applyAlignment="1">
      <alignment horizontal="center" vertical="center"/>
    </xf>
    <xf numFmtId="164" fontId="5" fillId="3" borderId="1" xfId="3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 wrapText="1"/>
    </xf>
    <xf numFmtId="164" fontId="5" fillId="3" borderId="1" xfId="0" applyNumberFormat="1" applyFont="1" applyFill="1" applyBorder="1" applyAlignment="1">
      <alignment horizontal="left"/>
    </xf>
    <xf numFmtId="164" fontId="5" fillId="3" borderId="1" xfId="0" applyNumberFormat="1" applyFont="1" applyFill="1" applyBorder="1" applyAlignment="1">
      <alignment horizontal="center"/>
    </xf>
    <xf numFmtId="164" fontId="5" fillId="4" borderId="1" xfId="0" applyNumberFormat="1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 wrapText="1"/>
    </xf>
    <xf numFmtId="164" fontId="5" fillId="4" borderId="1" xfId="0" applyNumberFormat="1" applyFont="1" applyFill="1" applyBorder="1" applyAlignment="1">
      <alignment horizontal="left"/>
    </xf>
    <xf numFmtId="164" fontId="5" fillId="4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 wrapText="1"/>
    </xf>
    <xf numFmtId="164" fontId="5" fillId="4" borderId="1" xfId="3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 vertical="center" wrapText="1"/>
    </xf>
    <xf numFmtId="164" fontId="5" fillId="0" borderId="1" xfId="3" applyNumberFormat="1" applyFont="1" applyFill="1" applyBorder="1" applyAlignment="1">
      <alignment horizontal="center" vertical="center"/>
    </xf>
    <xf numFmtId="164" fontId="5" fillId="0" borderId="1" xfId="0" applyNumberFormat="1" applyFont="1" applyFill="1" applyBorder="1" applyAlignment="1">
      <alignment horizontal="center" vertical="center"/>
    </xf>
    <xf numFmtId="0" fontId="6" fillId="0" borderId="0" xfId="0" applyFont="1"/>
    <xf numFmtId="0" fontId="5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left" vertical="center" wrapText="1"/>
    </xf>
    <xf numFmtId="164" fontId="5" fillId="5" borderId="1" xfId="3" applyNumberFormat="1" applyFont="1" applyFill="1" applyBorder="1" applyAlignment="1">
      <alignment horizontal="center" vertical="center"/>
    </xf>
    <xf numFmtId="0" fontId="5" fillId="5" borderId="1" xfId="3" applyNumberFormat="1" applyFont="1" applyFill="1" applyBorder="1" applyAlignment="1">
      <alignment horizontal="center" vertical="center"/>
    </xf>
    <xf numFmtId="164" fontId="5" fillId="5" borderId="1" xfId="0" applyNumberFormat="1" applyFont="1" applyFill="1" applyBorder="1" applyAlignment="1">
      <alignment horizontal="center" vertical="center"/>
    </xf>
    <xf numFmtId="0" fontId="5" fillId="5" borderId="0" xfId="0" applyFont="1" applyFill="1"/>
    <xf numFmtId="164" fontId="5" fillId="5" borderId="1" xfId="0" applyNumberFormat="1" applyFont="1" applyFill="1" applyBorder="1" applyAlignment="1">
      <alignment horizontal="left"/>
    </xf>
    <xf numFmtId="164" fontId="5" fillId="5" borderId="1" xfId="0" applyNumberFormat="1" applyFont="1" applyFill="1" applyBorder="1" applyAlignment="1">
      <alignment horizontal="center"/>
    </xf>
    <xf numFmtId="164" fontId="5" fillId="5" borderId="1" xfId="0" applyNumberFormat="1" applyFont="1" applyFill="1" applyBorder="1" applyAlignment="1">
      <alignment horizontal="center" vertical="center" wrapText="1"/>
    </xf>
    <xf numFmtId="0" fontId="5" fillId="0" borderId="0" xfId="0" applyFont="1" applyFill="1"/>
    <xf numFmtId="164" fontId="5" fillId="6" borderId="1" xfId="0" applyNumberFormat="1" applyFont="1" applyFill="1" applyBorder="1" applyAlignment="1">
      <alignment horizontal="center"/>
    </xf>
    <xf numFmtId="164" fontId="5" fillId="6" borderId="1" xfId="0" applyNumberFormat="1" applyFont="1" applyFill="1" applyBorder="1" applyAlignment="1">
      <alignment horizontal="left"/>
    </xf>
    <xf numFmtId="164" fontId="5" fillId="6" borderId="1" xfId="0" applyNumberFormat="1" applyFont="1" applyFill="1" applyBorder="1" applyAlignment="1">
      <alignment horizontal="center" vertical="center"/>
    </xf>
    <xf numFmtId="0" fontId="5" fillId="6" borderId="0" xfId="0" applyFont="1" applyFill="1"/>
    <xf numFmtId="0" fontId="11" fillId="0" borderId="0" xfId="0" applyFont="1" applyProtection="1">
      <protection hidden="1"/>
    </xf>
    <xf numFmtId="164" fontId="13" fillId="0" borderId="0" xfId="3" applyNumberFormat="1" applyFont="1" applyAlignment="1" applyProtection="1">
      <alignment horizontal="center"/>
      <protection hidden="1"/>
    </xf>
    <xf numFmtId="0" fontId="14" fillId="0" borderId="0" xfId="0" applyFont="1" applyFill="1" applyBorder="1" applyProtection="1">
      <protection hidden="1"/>
    </xf>
    <xf numFmtId="0" fontId="14" fillId="0" borderId="0" xfId="0" applyFont="1" applyFill="1" applyProtection="1">
      <protection hidden="1"/>
    </xf>
    <xf numFmtId="0" fontId="14" fillId="0" borderId="0" xfId="0" applyFont="1" applyFill="1" applyBorder="1" applyAlignment="1" applyProtection="1">
      <alignment horizontal="center"/>
      <protection hidden="1"/>
    </xf>
    <xf numFmtId="0" fontId="12" fillId="0" borderId="1" xfId="0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1" xfId="0" applyFont="1" applyFill="1" applyBorder="1" applyAlignment="1" applyProtection="1">
      <alignment horizontal="center" vertical="center"/>
      <protection hidden="1"/>
    </xf>
    <xf numFmtId="0" fontId="12" fillId="9" borderId="1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protection hidden="1"/>
    </xf>
    <xf numFmtId="0" fontId="0" fillId="0" borderId="0" xfId="0" applyNumberFormat="1" applyAlignment="1">
      <alignment horizontal="left" wrapText="1"/>
    </xf>
    <xf numFmtId="0" fontId="0" fillId="0" borderId="0" xfId="0" applyAlignment="1">
      <alignment horizontal="left" wrapText="1"/>
    </xf>
    <xf numFmtId="0" fontId="16" fillId="0" borderId="0" xfId="0" applyFont="1" applyAlignment="1" applyProtection="1">
      <alignment horizontal="center" vertical="center"/>
      <protection hidden="1"/>
    </xf>
    <xf numFmtId="0" fontId="19" fillId="0" borderId="1" xfId="0" applyFont="1" applyBorder="1" applyAlignment="1" applyProtection="1">
      <alignment horizontal="center"/>
      <protection hidden="1"/>
    </xf>
    <xf numFmtId="0" fontId="12" fillId="0" borderId="0" xfId="0" applyFont="1" applyProtection="1">
      <protection hidden="1"/>
    </xf>
    <xf numFmtId="0" fontId="20" fillId="0" borderId="1" xfId="0" applyFont="1" applyFill="1" applyBorder="1" applyAlignment="1" applyProtection="1">
      <alignment horizontal="center"/>
      <protection hidden="1"/>
    </xf>
    <xf numFmtId="0" fontId="20" fillId="0" borderId="0" xfId="0" applyFont="1" applyAlignment="1" applyProtection="1">
      <alignment horizontal="center"/>
      <protection hidden="1"/>
    </xf>
    <xf numFmtId="0" fontId="21" fillId="0" borderId="0" xfId="0" applyFont="1" applyFill="1" applyProtection="1">
      <protection hidden="1"/>
    </xf>
    <xf numFmtId="0" fontId="22" fillId="8" borderId="0" xfId="0" applyFont="1" applyFill="1" applyAlignment="1" applyProtection="1">
      <alignment horizontal="center" wrapText="1"/>
      <protection locked="0" hidden="1"/>
    </xf>
    <xf numFmtId="0" fontId="21" fillId="0" borderId="0" xfId="0" applyFont="1" applyFill="1" applyBorder="1" applyProtection="1">
      <protection hidden="1"/>
    </xf>
    <xf numFmtId="0" fontId="17" fillId="0" borderId="2" xfId="0" applyFont="1" applyBorder="1" applyAlignment="1" applyProtection="1">
      <alignment horizontal="center" vertical="center"/>
      <protection hidden="1"/>
    </xf>
    <xf numFmtId="0" fontId="17" fillId="0" borderId="2" xfId="0" applyFont="1" applyBorder="1" applyAlignment="1" applyProtection="1">
      <alignment vertical="center"/>
      <protection hidden="1"/>
    </xf>
    <xf numFmtId="0" fontId="17" fillId="0" borderId="3" xfId="0" applyFont="1" applyBorder="1" applyAlignment="1" applyProtection="1">
      <alignment vertical="center"/>
      <protection hidden="1"/>
    </xf>
    <xf numFmtId="0" fontId="17" fillId="0" borderId="4" xfId="0" applyFont="1" applyBorder="1" applyAlignment="1" applyProtection="1">
      <alignment vertical="center"/>
      <protection hidden="1"/>
    </xf>
    <xf numFmtId="0" fontId="22" fillId="8" borderId="0" xfId="0" applyFont="1" applyFill="1" applyAlignment="1" applyProtection="1">
      <alignment horizontal="center" vertical="center" wrapText="1"/>
      <protection locked="0" hidden="1"/>
    </xf>
    <xf numFmtId="0" fontId="22" fillId="8" borderId="0" xfId="0" applyNumberFormat="1" applyFont="1" applyFill="1" applyAlignment="1" applyProtection="1">
      <alignment horizontal="center"/>
      <protection hidden="1"/>
    </xf>
    <xf numFmtId="0" fontId="22" fillId="8" borderId="0" xfId="0" applyFont="1" applyFill="1" applyAlignment="1" applyProtection="1">
      <alignment horizontal="center"/>
      <protection hidden="1"/>
    </xf>
    <xf numFmtId="0" fontId="19" fillId="7" borderId="1" xfId="0" applyFont="1" applyFill="1" applyBorder="1" applyAlignment="1" applyProtection="1">
      <alignment horizontal="center"/>
      <protection locked="0" hidden="1"/>
    </xf>
    <xf numFmtId="0" fontId="0" fillId="0" borderId="0" xfId="0" applyFont="1" applyProtection="1">
      <protection hidden="1"/>
    </xf>
    <xf numFmtId="0" fontId="14" fillId="0" borderId="0" xfId="0" applyFont="1" applyFill="1" applyBorder="1" applyAlignment="1" applyProtection="1">
      <alignment horizontal="left" vertical="center"/>
      <protection hidden="1"/>
    </xf>
    <xf numFmtId="0" fontId="14" fillId="0" borderId="0" xfId="1" applyFont="1" applyFill="1" applyBorder="1" applyAlignment="1" applyProtection="1">
      <alignment horizontal="left" vertical="center"/>
      <protection hidden="1"/>
    </xf>
    <xf numFmtId="164" fontId="14" fillId="0" borderId="0" xfId="0" applyNumberFormat="1" applyFont="1" applyFill="1" applyBorder="1" applyAlignment="1" applyProtection="1">
      <alignment horizontal="left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0" fillId="0" borderId="0" xfId="0" applyFont="1" applyFill="1" applyAlignment="1" applyProtection="1">
      <alignment vertical="center"/>
      <protection hidden="1"/>
    </xf>
    <xf numFmtId="0" fontId="0" fillId="9" borderId="0" xfId="0" applyFont="1" applyFill="1" applyAlignment="1" applyProtection="1">
      <alignment vertical="center"/>
      <protection hidden="1"/>
    </xf>
    <xf numFmtId="0" fontId="24" fillId="0" borderId="0" xfId="0" applyFont="1" applyAlignment="1" applyProtection="1">
      <alignment vertical="top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25" fillId="2" borderId="1" xfId="0" applyFont="1" applyFill="1" applyBorder="1" applyAlignment="1" applyProtection="1">
      <alignment horizontal="center" vertical="center" wrapText="1"/>
      <protection hidden="1"/>
    </xf>
    <xf numFmtId="0" fontId="25" fillId="0" borderId="1" xfId="0" applyFont="1" applyFill="1" applyBorder="1" applyAlignment="1" applyProtection="1">
      <alignment horizontal="center" vertical="center" wrapText="1"/>
      <protection hidden="1"/>
    </xf>
    <xf numFmtId="0" fontId="25" fillId="9" borderId="1" xfId="0" applyFont="1" applyFill="1" applyBorder="1" applyAlignment="1" applyProtection="1">
      <alignment horizontal="center" vertical="center" wrapText="1"/>
      <protection hidden="1"/>
    </xf>
    <xf numFmtId="164" fontId="25" fillId="2" borderId="1" xfId="0" applyNumberFormat="1" applyFont="1" applyFill="1" applyBorder="1" applyAlignment="1" applyProtection="1">
      <alignment horizontal="center" vertical="center"/>
      <protection hidden="1"/>
    </xf>
    <xf numFmtId="164" fontId="25" fillId="0" borderId="1" xfId="0" applyNumberFormat="1" applyFont="1" applyFill="1" applyBorder="1" applyAlignment="1" applyProtection="1">
      <alignment horizontal="center" vertical="center" wrapText="1"/>
      <protection hidden="1"/>
    </xf>
    <xf numFmtId="164" fontId="25" fillId="0" borderId="1" xfId="0" applyNumberFormat="1" applyFont="1" applyFill="1" applyBorder="1" applyAlignment="1" applyProtection="1">
      <alignment horizontal="center" vertical="center"/>
      <protection hidden="1"/>
    </xf>
    <xf numFmtId="0" fontId="25" fillId="0" borderId="1" xfId="1" applyFont="1" applyBorder="1" applyAlignment="1" applyProtection="1">
      <alignment horizontal="center" vertical="center"/>
      <protection hidden="1"/>
    </xf>
    <xf numFmtId="164" fontId="23" fillId="2" borderId="1" xfId="0" applyNumberFormat="1" applyFont="1" applyFill="1" applyBorder="1" applyAlignment="1" applyProtection="1">
      <alignment horizontal="center" vertical="center"/>
      <protection hidden="1"/>
    </xf>
    <xf numFmtId="164" fontId="23" fillId="0" borderId="1" xfId="3" applyNumberFormat="1" applyFont="1" applyFill="1" applyBorder="1" applyAlignment="1" applyProtection="1">
      <alignment horizontal="center" vertical="center"/>
      <protection hidden="1"/>
    </xf>
    <xf numFmtId="164" fontId="23" fillId="2" borderId="1" xfId="3" applyNumberFormat="1" applyFont="1" applyFill="1" applyBorder="1" applyAlignment="1" applyProtection="1">
      <alignment horizontal="center" vertical="center"/>
      <protection hidden="1"/>
    </xf>
    <xf numFmtId="0" fontId="23" fillId="0" borderId="1" xfId="3" applyNumberFormat="1" applyFont="1" applyFill="1" applyBorder="1" applyAlignment="1" applyProtection="1">
      <alignment horizontal="center" vertical="center"/>
      <protection hidden="1"/>
    </xf>
    <xf numFmtId="165" fontId="23" fillId="0" borderId="1" xfId="3" applyNumberFormat="1" applyFont="1" applyFill="1" applyBorder="1" applyAlignment="1" applyProtection="1">
      <alignment horizontal="center" vertical="center"/>
      <protection hidden="1"/>
    </xf>
    <xf numFmtId="165" fontId="23" fillId="9" borderId="1" xfId="3" applyNumberFormat="1" applyFont="1" applyFill="1" applyBorder="1" applyAlignment="1" applyProtection="1">
      <alignment horizontal="center" vertical="center"/>
      <protection hidden="1"/>
    </xf>
    <xf numFmtId="164" fontId="23" fillId="0" borderId="1" xfId="0" applyNumberFormat="1" applyFont="1" applyFill="1" applyBorder="1" applyAlignment="1" applyProtection="1">
      <alignment horizontal="center" vertical="center"/>
      <protection hidden="1"/>
    </xf>
    <xf numFmtId="164" fontId="0" fillId="0" borderId="1" xfId="0" applyNumberFormat="1" applyFont="1" applyBorder="1" applyAlignment="1">
      <alignment horizontal="center" vertical="center"/>
    </xf>
    <xf numFmtId="164" fontId="23" fillId="0" borderId="1" xfId="0" applyNumberFormat="1" applyFont="1" applyBorder="1" applyAlignment="1" applyProtection="1">
      <alignment horizontal="center" vertical="center"/>
      <protection hidden="1"/>
    </xf>
    <xf numFmtId="164" fontId="23" fillId="0" borderId="1" xfId="1" applyNumberFormat="1" applyFont="1" applyBorder="1" applyAlignment="1" applyProtection="1">
      <alignment horizontal="center" vertical="center"/>
      <protection hidden="1"/>
    </xf>
    <xf numFmtId="164" fontId="23" fillId="2" borderId="1" xfId="0" applyNumberFormat="1" applyFont="1" applyFill="1" applyBorder="1" applyAlignment="1" applyProtection="1">
      <alignment horizontal="center" vertical="center" wrapText="1"/>
      <protection hidden="1"/>
    </xf>
    <xf numFmtId="164" fontId="23" fillId="0" borderId="1" xfId="0" applyNumberFormat="1" applyFont="1" applyFill="1" applyBorder="1" applyAlignment="1" applyProtection="1">
      <alignment horizontal="center" vertical="center" wrapText="1"/>
      <protection hidden="1"/>
    </xf>
    <xf numFmtId="164" fontId="23" fillId="9" borderId="1" xfId="3" applyNumberFormat="1" applyFont="1" applyFill="1" applyBorder="1" applyAlignment="1" applyProtection="1">
      <alignment horizontal="center" vertical="center"/>
      <protection hidden="1"/>
    </xf>
    <xf numFmtId="0" fontId="26" fillId="0" borderId="0" xfId="0" applyFont="1"/>
    <xf numFmtId="0" fontId="16" fillId="0" borderId="0" xfId="0" applyFont="1" applyAlignment="1" applyProtection="1">
      <alignment vertical="top"/>
      <protection hidden="1"/>
    </xf>
  </cellXfs>
  <cellStyles count="5">
    <cellStyle name="Normal" xfId="0" builtinId="0"/>
    <cellStyle name="Normal 2" xfId="1" xr:uid="{00000000-0005-0000-0000-000001000000}"/>
    <cellStyle name="Normal 3" xfId="2" xr:uid="{00000000-0005-0000-0000-000002000000}"/>
    <cellStyle name="Vírgula" xfId="3" builtinId="3"/>
    <cellStyle name="Vírgula 2" xfId="4" xr:uid="{00000000-0005-0000-0000-000004000000}"/>
  </cellStyles>
  <dxfs count="8">
    <dxf>
      <font>
        <color auto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1"/>
      </font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1"/>
      </font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85725</xdr:rowOff>
    </xdr:from>
    <xdr:to>
      <xdr:col>2</xdr:col>
      <xdr:colOff>285750</xdr:colOff>
      <xdr:row>3</xdr:row>
      <xdr:rowOff>68481</xdr:rowOff>
    </xdr:to>
    <xdr:pic>
      <xdr:nvPicPr>
        <xdr:cNvPr id="3" name="Imagem 1">
          <a:extLst>
            <a:ext uri="{FF2B5EF4-FFF2-40B4-BE49-F238E27FC236}">
              <a16:creationId xmlns:a16="http://schemas.microsoft.com/office/drawing/2014/main" id="{4D961C7D-21BC-4429-A616-FFA46754F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85725"/>
          <a:ext cx="1428750" cy="5542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114300</xdr:rowOff>
    </xdr:from>
    <xdr:to>
      <xdr:col>1</xdr:col>
      <xdr:colOff>734854</xdr:colOff>
      <xdr:row>3</xdr:row>
      <xdr:rowOff>98108</xdr:rowOff>
    </xdr:to>
    <xdr:pic>
      <xdr:nvPicPr>
        <xdr:cNvPr id="3" name="Imagem 1">
          <a:extLst>
            <a:ext uri="{FF2B5EF4-FFF2-40B4-BE49-F238E27FC236}">
              <a16:creationId xmlns:a16="http://schemas.microsoft.com/office/drawing/2014/main" id="{AD8F0976-914C-46D4-9118-DF6EB2A78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14300"/>
          <a:ext cx="1430179" cy="555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123826</xdr:colOff>
      <xdr:row>0</xdr:row>
      <xdr:rowOff>133350</xdr:rowOff>
    </xdr:from>
    <xdr:to>
      <xdr:col>2</xdr:col>
      <xdr:colOff>506255</xdr:colOff>
      <xdr:row>2</xdr:row>
      <xdr:rowOff>2858</xdr:rowOff>
    </xdr:to>
    <xdr:pic>
      <xdr:nvPicPr>
        <xdr:cNvPr id="6196" name="Imagem 1">
          <a:extLst>
            <a:ext uri="{FF2B5EF4-FFF2-40B4-BE49-F238E27FC236}">
              <a16:creationId xmlns:a16="http://schemas.microsoft.com/office/drawing/2014/main" id="{DC879EFA-FA74-4017-9283-5EC66FBAB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6" y="133350"/>
          <a:ext cx="1430179" cy="5553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B1:N27"/>
  <sheetViews>
    <sheetView showGridLines="0" workbookViewId="0"/>
  </sheetViews>
  <sheetFormatPr defaultColWidth="0" defaultRowHeight="15" zeroHeight="1"/>
  <cols>
    <col min="1" max="15" width="9.140625" customWidth="1"/>
  </cols>
  <sheetData>
    <row r="1" spans="2:14"/>
    <row r="2" spans="2:14"/>
    <row r="3" spans="2:14"/>
    <row r="4" spans="2:14"/>
    <row r="5" spans="2:14" s="108" customFormat="1" ht="48" customHeight="1">
      <c r="C5" s="60" t="s">
        <v>265</v>
      </c>
      <c r="D5" s="60"/>
      <c r="E5" s="60"/>
      <c r="F5" s="60"/>
      <c r="G5" s="60"/>
      <c r="H5" s="60"/>
    </row>
    <row r="6" spans="2:14" ht="9" customHeight="1"/>
    <row r="7" spans="2:14" ht="9" customHeight="1"/>
    <row r="8" spans="2:14" ht="30.75" customHeight="1">
      <c r="B8" s="62" t="s">
        <v>261</v>
      </c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</row>
    <row r="9" spans="2:14" ht="9" customHeight="1"/>
    <row r="10" spans="2:14">
      <c r="B10" t="s">
        <v>262</v>
      </c>
    </row>
    <row r="11" spans="2:14" ht="9" customHeight="1"/>
    <row r="12" spans="2:14" ht="46.5" customHeight="1">
      <c r="B12" s="61" t="s">
        <v>263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</row>
    <row r="13" spans="2:14" ht="9" customHeight="1"/>
    <row r="14" spans="2:14">
      <c r="B14" t="s">
        <v>264</v>
      </c>
    </row>
    <row r="15" spans="2:14"/>
    <row r="16" spans="2:14" hidden="1"/>
    <row r="17" hidden="1"/>
    <row r="18" hidden="1"/>
    <row r="19" hidden="1"/>
    <row r="20" hidden="1"/>
    <row r="21" hidden="1"/>
    <row r="22"/>
    <row r="23"/>
    <row r="24"/>
    <row r="25" hidden="1"/>
    <row r="26" hidden="1"/>
    <row r="27" hidden="1"/>
  </sheetData>
  <mergeCells count="2">
    <mergeCell ref="B12:N12"/>
    <mergeCell ref="B8:N8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Q145"/>
  <sheetViews>
    <sheetView showGridLines="0" tabSelected="1" workbookViewId="0">
      <pane ySplit="10" topLeftCell="A11" activePane="bottomLeft" state="frozen"/>
      <selection pane="bottomLeft" activeCell="C7" sqref="C7"/>
    </sheetView>
  </sheetViews>
  <sheetFormatPr defaultColWidth="0" defaultRowHeight="15" zeroHeight="1"/>
  <cols>
    <col min="1" max="1" width="12.42578125" style="68" customWidth="1"/>
    <col min="2" max="2" width="25.5703125" style="52" customWidth="1"/>
    <col min="3" max="3" width="30.7109375" style="52" customWidth="1"/>
    <col min="4" max="4" width="22.28515625" style="52" customWidth="1"/>
    <col min="5" max="5" width="24.42578125" style="52" customWidth="1"/>
    <col min="6" max="6" width="14.5703125" style="51" customWidth="1"/>
    <col min="7" max="13" width="9.140625" style="51" hidden="1"/>
    <col min="14" max="14" width="27.42578125" style="51" hidden="1"/>
    <col min="15" max="16" width="30" style="51" hidden="1"/>
    <col min="17" max="17" width="16.28515625" style="51" hidden="1"/>
    <col min="18" max="16384" width="9.140625" style="51" hidden="1"/>
  </cols>
  <sheetData>
    <row r="1" spans="1:17">
      <c r="A1" s="65"/>
      <c r="B1" s="79"/>
      <c r="C1" s="79"/>
      <c r="D1" s="79"/>
      <c r="E1" s="79"/>
    </row>
    <row r="2" spans="1:17" ht="15" customHeight="1">
      <c r="A2" s="65"/>
      <c r="B2" s="63" t="s">
        <v>265</v>
      </c>
      <c r="C2" s="63"/>
      <c r="D2" s="63"/>
      <c r="E2" s="63"/>
    </row>
    <row r="3" spans="1:17" ht="15" customHeight="1">
      <c r="A3" s="65"/>
      <c r="B3" s="63"/>
      <c r="C3" s="63"/>
      <c r="D3" s="63"/>
      <c r="E3" s="63"/>
    </row>
    <row r="4" spans="1:17" ht="15" customHeight="1">
      <c r="A4" s="65"/>
      <c r="B4" s="63"/>
      <c r="C4" s="63"/>
      <c r="D4" s="63"/>
      <c r="E4" s="63"/>
    </row>
    <row r="5" spans="1:17">
      <c r="A5" s="65"/>
      <c r="B5" s="79"/>
      <c r="C5" s="79"/>
      <c r="D5" s="79"/>
      <c r="E5" s="79"/>
    </row>
    <row r="6" spans="1:17">
      <c r="A6" s="65"/>
      <c r="B6" s="79"/>
      <c r="C6" s="79"/>
      <c r="D6" s="79"/>
      <c r="E6" s="79"/>
    </row>
    <row r="7" spans="1:17" ht="17.25">
      <c r="A7" s="65"/>
      <c r="B7" s="64" t="s">
        <v>242</v>
      </c>
      <c r="C7" s="78" t="s">
        <v>236</v>
      </c>
      <c r="D7" s="79"/>
      <c r="E7" s="79"/>
      <c r="N7" s="51" t="str">
        <f>TÁBUAS!B4</f>
        <v>MORTALIDADE GERAL</v>
      </c>
      <c r="O7" s="51">
        <f>TÁBUAS!A4</f>
        <v>1</v>
      </c>
    </row>
    <row r="8" spans="1:17">
      <c r="A8" s="65"/>
      <c r="B8" s="79"/>
      <c r="C8" s="49">
        <f>IF(ISERROR(VLOOKUP(C7,N7:O10,2,0)),"",VLOOKUP(C7,N7:O10,2,0))</f>
        <v>1</v>
      </c>
      <c r="D8" s="79"/>
      <c r="E8" s="79"/>
      <c r="N8" s="51" t="str">
        <f>TÁBUAS!B5</f>
        <v>MORTALIDADE DE INVÁLIDOS</v>
      </c>
      <c r="O8" s="51">
        <f>TÁBUAS!A5</f>
        <v>2</v>
      </c>
    </row>
    <row r="9" spans="1:17" s="70" customFormat="1" ht="15.75">
      <c r="A9" s="66" t="s">
        <v>240</v>
      </c>
      <c r="B9" s="75" t="s">
        <v>256</v>
      </c>
      <c r="C9" s="69" t="s">
        <v>158</v>
      </c>
      <c r="D9" s="69" t="s">
        <v>192</v>
      </c>
      <c r="E9" s="69" t="s">
        <v>187</v>
      </c>
      <c r="N9" s="51" t="str">
        <f>TÁBUAS!B6</f>
        <v>ENTRADA EM INVALIDEZ</v>
      </c>
      <c r="O9" s="51">
        <f>TÁBUAS!A6</f>
        <v>3</v>
      </c>
    </row>
    <row r="10" spans="1:17" ht="15.75">
      <c r="A10" s="66" t="s">
        <v>241</v>
      </c>
      <c r="B10" s="76" t="str">
        <f>IF(C8=1,IF(HLOOKUP($B$9,TÁBUAS!$B$10:$BU$138,2,0)=0,"",HLOOKUP($B$9,TÁBUAS!$B$10:$BU$138,2,0)),"")</f>
        <v>Circular SUSEP XXX/2021</v>
      </c>
      <c r="C10" s="77" t="str">
        <f>IF(C8=2,IF(HLOOKUP($C$9,TÁBUAS!$BV$10:$CH$138,2,0)=0,"",HLOOKUP($C$9,TÁBUAS!$BV$10:$CH$138,2,0)),"")</f>
        <v/>
      </c>
      <c r="D10" s="77" t="str">
        <f>IF(C8=3,IF(HLOOKUP($D$9,TÁBUAS!$CI$10:$CX$138,2,0)=0,"",HLOOKUP($D$9,TÁBUAS!$CI$10:$CX$138,2,0)),"")</f>
        <v/>
      </c>
      <c r="E10" s="77" t="str">
        <f>IF(C8=4,IF(HLOOKUP($E$9,TÁBUAS!$CY$10:$DD$138,2,0)=0,"",HLOOKUP($E$9,TÁBUAS!$CY$10:$DD$138,2,0)),"")</f>
        <v/>
      </c>
      <c r="F10" s="70"/>
      <c r="N10" s="51" t="str">
        <f>TÁBUAS!B7</f>
        <v>MORBIDEZ</v>
      </c>
      <c r="O10" s="51">
        <f>TÁBUAS!A7</f>
        <v>4</v>
      </c>
    </row>
    <row r="11" spans="1:17" ht="15.75">
      <c r="A11" s="67">
        <v>0</v>
      </c>
      <c r="B11" s="50" cm="1">
        <f t="array" ref="B11">IF($C$8=1,HLOOKUP($B$9,TÁBUAS!$B$10:$BU$138,_xlfn.SINGLE(CONSULTA!A11)+3,0),"")</f>
        <v>3.5452530000000001E-4</v>
      </c>
      <c r="C11" s="50" t="str">
        <f>IF($C$8=2,HLOOKUP($C$9,TÁBUAS!$BV$10:$CH$138,CONSULTA!A11+3),"")</f>
        <v/>
      </c>
      <c r="D11" s="50" t="str">
        <f>IF($C$8=3,HLOOKUP($D$9,TÁBUAS!$CI$10:$CX$138,CONSULTA!A11+3),"")</f>
        <v/>
      </c>
      <c r="E11" s="50" t="str">
        <f>IF($C$8=4,HLOOKUP($E$9,TÁBUAS!$CY$10:$DD$138,CONSULTA!A11+3),"")</f>
        <v/>
      </c>
    </row>
    <row r="12" spans="1:17" ht="15.75">
      <c r="A12" s="67">
        <v>1</v>
      </c>
      <c r="B12" s="50" cm="1">
        <f t="array" ref="B12">IF($C$8=1,HLOOKUP($B$9,TÁBUAS!$B$10:$BU$138,_xlfn.SINGLE(CONSULTA!A12)+3,0),"")</f>
        <v>2.256076E-4</v>
      </c>
      <c r="C12" s="50" t="str">
        <f>IF($C$8=2,HLOOKUP($C$9,TÁBUAS!$BV$10:$CH$138,CONSULTA!A12+3),"")</f>
        <v/>
      </c>
      <c r="D12" s="50" t="str">
        <f>IF($C$8=3,HLOOKUP($D$9,TÁBUAS!$CI$10:$CX$138,CONSULTA!A12+3),"")</f>
        <v/>
      </c>
      <c r="E12" s="50" t="str">
        <f>IF($C$8=4,HLOOKUP($E$9,TÁBUAS!$CY$10:$DD$138,CONSULTA!A12+3),"")</f>
        <v/>
      </c>
      <c r="N12" s="53">
        <f>O7</f>
        <v>1</v>
      </c>
      <c r="O12" s="53">
        <f>O8</f>
        <v>2</v>
      </c>
      <c r="P12" s="53">
        <f>O9</f>
        <v>3</v>
      </c>
      <c r="Q12" s="53">
        <f>O10</f>
        <v>4</v>
      </c>
    </row>
    <row r="13" spans="1:17" ht="15.75">
      <c r="A13" s="67">
        <v>2</v>
      </c>
      <c r="B13" s="50" cm="1">
        <f t="array" ref="B13">IF($C$8=1,HLOOKUP($B$9,TÁBUAS!$B$10:$BU$138,_xlfn.SINGLE(CONSULTA!A13)+3,0),"")</f>
        <v>1.953352E-4</v>
      </c>
      <c r="C13" s="50" t="str">
        <f>IF($C$8=2,HLOOKUP($C$9,TÁBUAS!$BV$10:$CH$138,CONSULTA!A13+3),"")</f>
        <v/>
      </c>
      <c r="D13" s="50" t="str">
        <f>IF($C$8=3,HLOOKUP($D$9,TÁBUAS!$CI$10:$CX$138,CONSULTA!A13+3),"")</f>
        <v/>
      </c>
      <c r="E13" s="50" t="str">
        <f>IF($C$8=4,HLOOKUP($E$9,TÁBUAS!$CY$10:$DD$138,CONSULTA!A13+3),"")</f>
        <v/>
      </c>
      <c r="N13" s="80" t="s">
        <v>146</v>
      </c>
      <c r="O13" s="80" t="s">
        <v>155</v>
      </c>
      <c r="P13" s="80" t="s">
        <v>165</v>
      </c>
      <c r="Q13" s="81" t="s">
        <v>187</v>
      </c>
    </row>
    <row r="14" spans="1:17" ht="15.75">
      <c r="A14" s="67">
        <v>3</v>
      </c>
      <c r="B14" s="50" cm="1">
        <f t="array" ref="B14">IF($C$8=1,HLOOKUP($B$9,TÁBUAS!$B$10:$BU$138,_xlfn.SINGLE(CONSULTA!A14)+3,0),"")</f>
        <v>1.8013999999999999E-4</v>
      </c>
      <c r="C14" s="50" t="str">
        <f>IF($C$8=2,HLOOKUP($C$9,TÁBUAS!$BV$10:$CH$138,CONSULTA!A14+3),"")</f>
        <v/>
      </c>
      <c r="D14" s="50" t="str">
        <f>IF($C$8=3,HLOOKUP($D$9,TÁBUAS!$CI$10:$CX$138,CONSULTA!A14+3),"")</f>
        <v/>
      </c>
      <c r="E14" s="50" t="str">
        <f>IF($C$8=4,HLOOKUP($E$9,TÁBUAS!$CY$10:$DD$138,CONSULTA!A14+3),"")</f>
        <v/>
      </c>
      <c r="N14" s="80" t="s">
        <v>136</v>
      </c>
      <c r="O14" s="80" t="s">
        <v>164</v>
      </c>
      <c r="P14" s="80" t="s">
        <v>175</v>
      </c>
      <c r="Q14" s="81" t="s">
        <v>186</v>
      </c>
    </row>
    <row r="15" spans="1:17" ht="15.75">
      <c r="A15" s="67">
        <v>4</v>
      </c>
      <c r="B15" s="50" cm="1">
        <f t="array" ref="B15">IF($C$8=1,HLOOKUP($B$9,TÁBUAS!$B$10:$BU$138,_xlfn.SINGLE(CONSULTA!A15)+3,0),"")</f>
        <v>1.7111310000000001E-4</v>
      </c>
      <c r="C15" s="50" t="str">
        <f>IF($C$8=2,HLOOKUP($C$9,TÁBUAS!$BV$10:$CH$138,CONSULTA!A15+3),"")</f>
        <v/>
      </c>
      <c r="D15" s="50" t="str">
        <f>IF($C$8=3,HLOOKUP($D$9,TÁBUAS!$CI$10:$CX$138,CONSULTA!A15+3),"")</f>
        <v/>
      </c>
      <c r="E15" s="50" t="str">
        <f>IF($C$8=4,HLOOKUP($E$9,TÁBUAS!$CY$10:$DD$138,CONSULTA!A15+3),"")</f>
        <v/>
      </c>
      <c r="N15" s="80" t="s">
        <v>222</v>
      </c>
      <c r="O15" s="80" t="s">
        <v>142</v>
      </c>
      <c r="P15" s="80" t="s">
        <v>178</v>
      </c>
      <c r="Q15" s="81" t="s">
        <v>189</v>
      </c>
    </row>
    <row r="16" spans="1:17" ht="15.75">
      <c r="A16" s="67">
        <v>5</v>
      </c>
      <c r="B16" s="50" cm="1">
        <f t="array" ref="B16">IF($C$8=1,HLOOKUP($B$9,TÁBUAS!$B$10:$BU$138,_xlfn.SINGLE(CONSULTA!A16)+3,0),"")</f>
        <v>1.654968E-4</v>
      </c>
      <c r="C16" s="50" t="str">
        <f>IF($C$8=2,HLOOKUP($C$9,TÁBUAS!$BV$10:$CH$138,CONSULTA!A16+3),"")</f>
        <v/>
      </c>
      <c r="D16" s="50" t="str">
        <f>IF($C$8=3,HLOOKUP($D$9,TÁBUAS!$CI$10:$CX$138,CONSULTA!A16+3),"")</f>
        <v/>
      </c>
      <c r="E16" s="50" t="str">
        <f>IF($C$8=4,HLOOKUP($E$9,TÁBUAS!$CY$10:$DD$138,CONSULTA!A16+3),"")</f>
        <v/>
      </c>
      <c r="N16" s="80" t="s">
        <v>215</v>
      </c>
      <c r="O16" s="80" t="s">
        <v>153</v>
      </c>
      <c r="P16" s="80" t="s">
        <v>161</v>
      </c>
      <c r="Q16" s="81" t="s">
        <v>183</v>
      </c>
    </row>
    <row r="17" spans="1:17" ht="15.75">
      <c r="A17" s="67">
        <v>6</v>
      </c>
      <c r="B17" s="50" cm="1">
        <f t="array" ref="B17">IF($C$8=1,HLOOKUP($B$9,TÁBUAS!$B$10:$BU$138,_xlfn.SINGLE(CONSULTA!A17)+3,0),"")</f>
        <v>1.6216390000000001E-4</v>
      </c>
      <c r="C17" s="50" t="str">
        <f>IF($C$8=2,HLOOKUP($C$9,TÁBUAS!$BV$10:$CH$138,CONSULTA!A17+3),"")</f>
        <v/>
      </c>
      <c r="D17" s="50" t="str">
        <f>IF($C$8=3,HLOOKUP($D$9,TÁBUAS!$CI$10:$CX$138,CONSULTA!A17+3),"")</f>
        <v/>
      </c>
      <c r="E17" s="50" t="str">
        <f>IF($C$8=4,HLOOKUP($E$9,TÁBUAS!$CY$10:$DD$138,CONSULTA!A17+3),"")</f>
        <v/>
      </c>
      <c r="N17" s="80" t="s">
        <v>3</v>
      </c>
      <c r="O17" s="80" t="s">
        <v>192</v>
      </c>
      <c r="P17" s="80" t="s">
        <v>170</v>
      </c>
      <c r="Q17" s="81" t="s">
        <v>184</v>
      </c>
    </row>
    <row r="18" spans="1:17" ht="15.75">
      <c r="A18" s="67">
        <v>7</v>
      </c>
      <c r="B18" s="50" cm="1">
        <f t="array" ref="B18">IF($C$8=1,HLOOKUP($B$9,TÁBUAS!$B$10:$BU$138,_xlfn.SINGLE(CONSULTA!A18)+3,0),"")</f>
        <v>1.608317E-4</v>
      </c>
      <c r="C18" s="50" t="str">
        <f>IF($C$8=2,HLOOKUP($C$9,TÁBUAS!$BV$10:$CH$138,CONSULTA!A18+3),"")</f>
        <v/>
      </c>
      <c r="D18" s="50" t="str">
        <f>IF($C$8=3,HLOOKUP($D$9,TÁBUAS!$CI$10:$CX$138,CONSULTA!A18+3),"")</f>
        <v/>
      </c>
      <c r="E18" s="50" t="str">
        <f>IF($C$8=4,HLOOKUP($E$9,TÁBUAS!$CY$10:$DD$138,CONSULTA!A18+3),"")</f>
        <v/>
      </c>
      <c r="N18" s="80" t="s">
        <v>194</v>
      </c>
      <c r="O18" s="80" t="s">
        <v>172</v>
      </c>
      <c r="P18" s="80" t="s">
        <v>192</v>
      </c>
      <c r="Q18" s="81" t="s">
        <v>188</v>
      </c>
    </row>
    <row r="19" spans="1:17" ht="15.75">
      <c r="A19" s="67">
        <v>8</v>
      </c>
      <c r="B19" s="50" cm="1">
        <f t="array" ref="B19">IF($C$8=1,HLOOKUP($B$9,TÁBUAS!$B$10:$BU$138,_xlfn.SINGLE(CONSULTA!A19)+3,0),"")</f>
        <v>1.6215589999999999E-4</v>
      </c>
      <c r="C19" s="50" t="str">
        <f>IF($C$8=2,HLOOKUP($C$9,TÁBUAS!$BV$10:$CH$138,CONSULTA!A19+3),"")</f>
        <v/>
      </c>
      <c r="D19" s="50" t="str">
        <f>IF($C$8=3,HLOOKUP($D$9,TÁBUAS!$CI$10:$CX$138,CONSULTA!A19+3),"")</f>
        <v/>
      </c>
      <c r="E19" s="50" t="str">
        <f>IF($C$8=4,HLOOKUP($E$9,TÁBUAS!$CY$10:$DD$138,CONSULTA!A19+3),"")</f>
        <v/>
      </c>
      <c r="N19" s="80" t="s">
        <v>196</v>
      </c>
      <c r="O19" s="80" t="s">
        <v>157</v>
      </c>
      <c r="P19" s="80" t="s">
        <v>190</v>
      </c>
    </row>
    <row r="20" spans="1:17" ht="15.75">
      <c r="A20" s="67">
        <v>9</v>
      </c>
      <c r="B20" s="50" cm="1">
        <f t="array" ref="B20">IF($C$8=1,HLOOKUP($B$9,TÁBUAS!$B$10:$BU$138,_xlfn.SINGLE(CONSULTA!A20)+3,0),"")</f>
        <v>1.676263E-4</v>
      </c>
      <c r="C20" s="50" t="str">
        <f>IF($C$8=2,HLOOKUP($C$9,TÁBUAS!$BV$10:$CH$138,CONSULTA!A20+3),"")</f>
        <v/>
      </c>
      <c r="D20" s="50" t="str">
        <f>IF($C$8=3,HLOOKUP($D$9,TÁBUAS!$CI$10:$CX$138,CONSULTA!A20+3),"")</f>
        <v/>
      </c>
      <c r="E20" s="50" t="str">
        <f>IF($C$8=4,HLOOKUP($E$9,TÁBUAS!$CY$10:$DD$138,CONSULTA!A20+3),"")</f>
        <v/>
      </c>
      <c r="N20" s="80" t="s">
        <v>195</v>
      </c>
      <c r="O20" s="80" t="s">
        <v>158</v>
      </c>
      <c r="P20" s="80" t="s">
        <v>166</v>
      </c>
    </row>
    <row r="21" spans="1:17" ht="15.75">
      <c r="A21" s="67">
        <v>10</v>
      </c>
      <c r="B21" s="50" cm="1">
        <f t="array" ref="B21">IF($C$8=1,HLOOKUP($B$9,TÁBUAS!$B$10:$BU$138,_xlfn.SINGLE(CONSULTA!A21)+3,0),"")</f>
        <v>1.7913799999999999E-4</v>
      </c>
      <c r="C21" s="50" t="str">
        <f>IF($C$8=2,HLOOKUP($C$9,TÁBUAS!$BV$10:$CH$138,CONSULTA!A21+3),"")</f>
        <v/>
      </c>
      <c r="D21" s="50" t="str">
        <f>IF($C$8=3,HLOOKUP($D$9,TÁBUAS!$CI$10:$CX$138,CONSULTA!A21+3),"")</f>
        <v/>
      </c>
      <c r="E21" s="50" t="str">
        <f>IF($C$8=4,HLOOKUP($E$9,TÁBUAS!$CY$10:$DD$138,CONSULTA!A21+3),"")</f>
        <v/>
      </c>
      <c r="N21" s="80" t="s">
        <v>4</v>
      </c>
      <c r="O21" s="80" t="s">
        <v>163</v>
      </c>
      <c r="P21" s="80" t="s">
        <v>172</v>
      </c>
    </row>
    <row r="22" spans="1:17" ht="15.75">
      <c r="A22" s="67">
        <v>11</v>
      </c>
      <c r="B22" s="50" cm="1">
        <f t="array" ref="B22">IF($C$8=1,HLOOKUP($B$9,TÁBUAS!$B$10:$BU$138,_xlfn.SINGLE(CONSULTA!A22)+3,0),"")</f>
        <v>1.9796660000000001E-4</v>
      </c>
      <c r="C22" s="50" t="str">
        <f>IF($C$8=2,HLOOKUP($C$9,TÁBUAS!$BV$10:$CH$138,CONSULTA!A22+3),"")</f>
        <v/>
      </c>
      <c r="D22" s="50" t="str">
        <f>IF($C$8=3,HLOOKUP($D$9,TÁBUAS!$CI$10:$CX$138,CONSULTA!A22+3),"")</f>
        <v/>
      </c>
      <c r="E22" s="50" t="str">
        <f>IF($C$8=4,HLOOKUP($E$9,TÁBUAS!$CY$10:$DD$138,CONSULTA!A22+3),"")</f>
        <v/>
      </c>
      <c r="N22" s="80" t="s">
        <v>5</v>
      </c>
      <c r="O22" s="80" t="s">
        <v>191</v>
      </c>
      <c r="P22" s="80" t="s">
        <v>177</v>
      </c>
    </row>
    <row r="23" spans="1:17" ht="15.75">
      <c r="A23" s="67">
        <v>12</v>
      </c>
      <c r="B23" s="50" cm="1">
        <f t="array" ref="B23">IF($C$8=1,HLOOKUP($B$9,TÁBUAS!$B$10:$BU$138,_xlfn.SINGLE(CONSULTA!A23)+3,0),"")</f>
        <v>2.240586E-4</v>
      </c>
      <c r="C23" s="50" t="str">
        <f>IF($C$8=2,HLOOKUP($C$9,TÁBUAS!$BV$10:$CH$138,CONSULTA!A23+3),"")</f>
        <v/>
      </c>
      <c r="D23" s="50" t="str">
        <f>IF($C$8=3,HLOOKUP($D$9,TÁBUAS!$CI$10:$CX$138,CONSULTA!A23+3),"")</f>
        <v/>
      </c>
      <c r="E23" s="50" t="str">
        <f>IF($C$8=4,HLOOKUP($E$9,TÁBUAS!$CY$10:$DD$138,CONSULTA!A23+3),"")</f>
        <v/>
      </c>
      <c r="N23" s="80" t="s">
        <v>6</v>
      </c>
      <c r="O23" s="80" t="s">
        <v>154</v>
      </c>
      <c r="P23" s="80" t="s">
        <v>174</v>
      </c>
    </row>
    <row r="24" spans="1:17" ht="15.75">
      <c r="A24" s="67">
        <v>13</v>
      </c>
      <c r="B24" s="50" cm="1">
        <f t="array" ref="B24">IF($C$8=1,HLOOKUP($B$9,TÁBUAS!$B$10:$BU$138,_xlfn.SINGLE(CONSULTA!A24)+3,0),"")</f>
        <v>2.5553750000000002E-4</v>
      </c>
      <c r="C24" s="50" t="str">
        <f>IF($C$8=2,HLOOKUP($C$9,TÁBUAS!$BV$10:$CH$138,CONSULTA!A24+3),"")</f>
        <v/>
      </c>
      <c r="D24" s="50" t="str">
        <f>IF($C$8=3,HLOOKUP($D$9,TÁBUAS!$CI$10:$CX$138,CONSULTA!A24+3),"")</f>
        <v/>
      </c>
      <c r="E24" s="50" t="str">
        <f>IF($C$8=4,HLOOKUP($E$9,TÁBUAS!$CY$10:$DD$138,CONSULTA!A24+3),"")</f>
        <v/>
      </c>
      <c r="N24" s="80" t="s">
        <v>197</v>
      </c>
      <c r="O24" s="80" t="s">
        <v>168</v>
      </c>
      <c r="P24" s="80" t="s">
        <v>180</v>
      </c>
    </row>
    <row r="25" spans="1:17" ht="15.75">
      <c r="A25" s="67">
        <v>14</v>
      </c>
      <c r="B25" s="50" cm="1">
        <f t="array" ref="B25">IF($C$8=1,HLOOKUP($B$9,TÁBUAS!$B$10:$BU$138,_xlfn.SINGLE(CONSULTA!A25)+3,0),"")</f>
        <v>2.8981660000000002E-4</v>
      </c>
      <c r="C25" s="50" t="str">
        <f>IF($C$8=2,HLOOKUP($C$9,TÁBUAS!$BV$10:$CH$138,CONSULTA!A25+3),"")</f>
        <v/>
      </c>
      <c r="D25" s="50" t="str">
        <f>IF($C$8=3,HLOOKUP($D$9,TÁBUAS!$CI$10:$CX$138,CONSULTA!A25+3),"")</f>
        <v/>
      </c>
      <c r="E25" s="50" t="str">
        <f>IF($C$8=4,HLOOKUP($E$9,TÁBUAS!$CY$10:$DD$138,CONSULTA!A25+3),"")</f>
        <v/>
      </c>
      <c r="N25" s="80" t="s">
        <v>198</v>
      </c>
      <c r="O25" s="80" t="s">
        <v>160</v>
      </c>
      <c r="P25" s="80" t="s">
        <v>179</v>
      </c>
    </row>
    <row r="26" spans="1:17" ht="15.75">
      <c r="A26" s="67">
        <v>15</v>
      </c>
      <c r="B26" s="50" cm="1">
        <f t="array" ref="B26">IF($C$8=1,HLOOKUP($B$9,TÁBUAS!$B$10:$BU$138,_xlfn.SINGLE(CONSULTA!A26)+3,0),"")</f>
        <v>3.2380739999999999E-4</v>
      </c>
      <c r="C26" s="50" t="str">
        <f>IF($C$8=2,HLOOKUP($C$9,TÁBUAS!$BV$10:$CH$138,CONSULTA!A26+3),"")</f>
        <v/>
      </c>
      <c r="D26" s="50" t="str">
        <f>IF($C$8=3,HLOOKUP($D$9,TÁBUAS!$CI$10:$CX$138,CONSULTA!A26+3),"")</f>
        <v/>
      </c>
      <c r="E26" s="50" t="str">
        <f>IF($C$8=4,HLOOKUP($E$9,TÁBUAS!$CY$10:$DD$138,CONSULTA!A26+3),"")</f>
        <v/>
      </c>
      <c r="N26" s="80" t="s">
        <v>199</v>
      </c>
      <c r="P26" s="80" t="s">
        <v>176</v>
      </c>
    </row>
    <row r="27" spans="1:17" ht="15.75">
      <c r="A27" s="67">
        <v>16</v>
      </c>
      <c r="B27" s="50" cm="1">
        <f t="array" ref="B27">IF($C$8=1,HLOOKUP($B$9,TÁBUAS!$B$10:$BU$138,_xlfn.SINGLE(CONSULTA!A27)+3,0),"")</f>
        <v>3.5462500000000001E-4</v>
      </c>
      <c r="C27" s="50" t="str">
        <f>IF($C$8=2,HLOOKUP($C$9,TÁBUAS!$BV$10:$CH$138,CONSULTA!A27+3),"")</f>
        <v/>
      </c>
      <c r="D27" s="50" t="str">
        <f>IF($C$8=3,HLOOKUP($D$9,TÁBUAS!$CI$10:$CX$138,CONSULTA!A27+3),"")</f>
        <v/>
      </c>
      <c r="E27" s="50" t="str">
        <f>IF($C$8=4,HLOOKUP($E$9,TÁBUAS!$CY$10:$DD$138,CONSULTA!A27+3),"")</f>
        <v/>
      </c>
      <c r="N27" s="80" t="s">
        <v>200</v>
      </c>
      <c r="P27" s="80" t="s">
        <v>173</v>
      </c>
    </row>
    <row r="28" spans="1:17" ht="15.75">
      <c r="A28" s="67">
        <v>17</v>
      </c>
      <c r="B28" s="50" cm="1">
        <f t="array" ref="B28">IF($C$8=1,HLOOKUP($B$9,TÁBUAS!$B$10:$BU$138,_xlfn.SINGLE(CONSULTA!A28)+3,0),"")</f>
        <v>3.8040719999999999E-4</v>
      </c>
      <c r="C28" s="50" t="str">
        <f>IF($C$8=2,HLOOKUP($C$9,TÁBUAS!$BV$10:$CH$138,CONSULTA!A28+3),"")</f>
        <v/>
      </c>
      <c r="D28" s="50" t="str">
        <f>IF($C$8=3,HLOOKUP($D$9,TÁBUAS!$CI$10:$CX$138,CONSULTA!A28+3),"")</f>
        <v/>
      </c>
      <c r="E28" s="50" t="str">
        <f>IF($C$8=4,HLOOKUP($E$9,TÁBUAS!$CY$10:$DD$138,CONSULTA!A28+3),"")</f>
        <v/>
      </c>
      <c r="N28" s="80" t="s">
        <v>11</v>
      </c>
      <c r="P28" s="80" t="s">
        <v>182</v>
      </c>
    </row>
    <row r="29" spans="1:17" ht="15.75">
      <c r="A29" s="67">
        <v>18</v>
      </c>
      <c r="B29" s="50" cm="1">
        <f t="array" ref="B29">IF($C$8=1,HLOOKUP($B$9,TÁBUAS!$B$10:$BU$138,_xlfn.SINGLE(CONSULTA!A29)+3,0),"")</f>
        <v>4.0026280000000003E-4</v>
      </c>
      <c r="C29" s="50" t="str">
        <f>IF($C$8=2,HLOOKUP($C$9,TÁBUAS!$BV$10:$CH$138,CONSULTA!A29+3),"")</f>
        <v/>
      </c>
      <c r="D29" s="50" t="str">
        <f>IF($C$8=3,HLOOKUP($D$9,TÁBUAS!$CI$10:$CX$138,CONSULTA!A29+3),"")</f>
        <v/>
      </c>
      <c r="E29" s="50" t="str">
        <f>IF($C$8=4,HLOOKUP($E$9,TÁBUAS!$CY$10:$DD$138,CONSULTA!A29+3),"")</f>
        <v/>
      </c>
      <c r="N29" s="80" t="s">
        <v>10</v>
      </c>
      <c r="P29" s="80"/>
    </row>
    <row r="30" spans="1:17" ht="15.75">
      <c r="A30" s="67">
        <v>19</v>
      </c>
      <c r="B30" s="50" cm="1">
        <f t="array" ref="B30">IF($C$8=1,HLOOKUP($B$9,TÁBUAS!$B$10:$BU$138,_xlfn.SINGLE(CONSULTA!A30)+3,0),"")</f>
        <v>4.141746E-4</v>
      </c>
      <c r="C30" s="50" t="str">
        <f>IF($C$8=2,HLOOKUP($C$9,TÁBUAS!$BV$10:$CH$138,CONSULTA!A30+3),"")</f>
        <v/>
      </c>
      <c r="D30" s="50" t="str">
        <f>IF($C$8=3,HLOOKUP($D$9,TÁBUAS!$CI$10:$CX$138,CONSULTA!A30+3),"")</f>
        <v/>
      </c>
      <c r="E30" s="50" t="str">
        <f>IF($C$8=4,HLOOKUP($E$9,TÁBUAS!$CY$10:$DD$138,CONSULTA!A30+3),"")</f>
        <v/>
      </c>
      <c r="N30" s="80" t="s">
        <v>9</v>
      </c>
      <c r="P30" s="80"/>
    </row>
    <row r="31" spans="1:17" ht="15.75">
      <c r="A31" s="67">
        <v>20</v>
      </c>
      <c r="B31" s="50" cm="1">
        <f t="array" ref="B31">IF($C$8=1,HLOOKUP($B$9,TÁBUAS!$B$10:$BU$138,_xlfn.SINGLE(CONSULTA!A31)+3,0),"")</f>
        <v>4.229018E-4</v>
      </c>
      <c r="C31" s="50" t="str">
        <f>IF($C$8=2,HLOOKUP($C$9,TÁBUAS!$BV$10:$CH$138,CONSULTA!A31+3),"")</f>
        <v/>
      </c>
      <c r="D31" s="50" t="str">
        <f>IF($C$8=3,HLOOKUP($D$9,TÁBUAS!$CI$10:$CX$138,CONSULTA!A31+3),"")</f>
        <v/>
      </c>
      <c r="E31" s="50" t="str">
        <f>IF($C$8=4,HLOOKUP($E$9,TÁBUAS!$CY$10:$DD$138,CONSULTA!A31+3),"")</f>
        <v/>
      </c>
      <c r="N31" s="80" t="s">
        <v>8</v>
      </c>
      <c r="P31" s="80"/>
    </row>
    <row r="32" spans="1:17" ht="15.75">
      <c r="A32" s="67">
        <v>21</v>
      </c>
      <c r="B32" s="50" cm="1">
        <f t="array" ref="B32">IF($C$8=1,HLOOKUP($B$9,TÁBUAS!$B$10:$BU$138,_xlfn.SINGLE(CONSULTA!A32)+3,0),"")</f>
        <v>4.2754540000000001E-4</v>
      </c>
      <c r="C32" s="50" t="str">
        <f>IF($C$8=2,HLOOKUP($C$9,TÁBUAS!$BV$10:$CH$138,CONSULTA!A32+3),"")</f>
        <v/>
      </c>
      <c r="D32" s="50" t="str">
        <f>IF($C$8=3,HLOOKUP($D$9,TÁBUAS!$CI$10:$CX$138,CONSULTA!A32+3),"")</f>
        <v/>
      </c>
      <c r="E32" s="50" t="str">
        <f>IF($C$8=4,HLOOKUP($E$9,TÁBUAS!$CY$10:$DD$138,CONSULTA!A32+3),"")</f>
        <v/>
      </c>
      <c r="N32" s="80" t="s">
        <v>251</v>
      </c>
      <c r="P32" s="80"/>
    </row>
    <row r="33" spans="1:16" ht="15.75">
      <c r="A33" s="67">
        <v>22</v>
      </c>
      <c r="B33" s="50" cm="1">
        <f t="array" ref="B33">IF($C$8=1,HLOOKUP($B$9,TÁBUAS!$B$10:$BU$138,_xlfn.SINGLE(CONSULTA!A33)+3,0),"")</f>
        <v>4.2950390000000001E-4</v>
      </c>
      <c r="C33" s="50" t="str">
        <f>IF($C$8=2,HLOOKUP($C$9,TÁBUAS!$BV$10:$CH$138,CONSULTA!A33+3),"")</f>
        <v/>
      </c>
      <c r="D33" s="50" t="str">
        <f>IF($C$8=3,HLOOKUP($D$9,TÁBUAS!$CI$10:$CX$138,CONSULTA!A33+3),"")</f>
        <v/>
      </c>
      <c r="E33" s="50" t="str">
        <f>IF($C$8=4,HLOOKUP($E$9,TÁBUAS!$CY$10:$DD$138,CONSULTA!A33+3),"")</f>
        <v/>
      </c>
      <c r="N33" s="80" t="s">
        <v>252</v>
      </c>
      <c r="P33" s="80"/>
    </row>
    <row r="34" spans="1:16" ht="15.75">
      <c r="A34" s="67">
        <v>23</v>
      </c>
      <c r="B34" s="50" cm="1">
        <f t="array" ref="B34">IF($C$8=1,HLOOKUP($B$9,TÁBUAS!$B$10:$BU$138,_xlfn.SINGLE(CONSULTA!A34)+3,0),"")</f>
        <v>4.303008E-4</v>
      </c>
      <c r="C34" s="50" t="str">
        <f>IF($C$8=2,HLOOKUP($C$9,TÁBUAS!$BV$10:$CH$138,CONSULTA!A34+3),"")</f>
        <v/>
      </c>
      <c r="D34" s="50" t="str">
        <f>IF($C$8=3,HLOOKUP($D$9,TÁBUAS!$CI$10:$CX$138,CONSULTA!A34+3),"")</f>
        <v/>
      </c>
      <c r="E34" s="50" t="str">
        <f>IF($C$8=4,HLOOKUP($E$9,TÁBUAS!$CY$10:$DD$138,CONSULTA!A34+3),"")</f>
        <v/>
      </c>
      <c r="N34" s="80" t="s">
        <v>253</v>
      </c>
      <c r="P34" s="80"/>
    </row>
    <row r="35" spans="1:16" ht="15.75">
      <c r="A35" s="67">
        <v>24</v>
      </c>
      <c r="B35" s="50" cm="1">
        <f t="array" ref="B35">IF($C$8=1,HLOOKUP($B$9,TÁBUAS!$B$10:$BU$138,_xlfn.SINGLE(CONSULTA!A35)+3,0),"")</f>
        <v>4.3114439999999998E-4</v>
      </c>
      <c r="C35" s="50" t="str">
        <f>IF($C$8=2,HLOOKUP($C$9,TÁBUAS!$BV$10:$CH$138,CONSULTA!A35+3),"")</f>
        <v/>
      </c>
      <c r="D35" s="50" t="str">
        <f>IF($C$8=3,HLOOKUP($D$9,TÁBUAS!$CI$10:$CX$138,CONSULTA!A35+3),"")</f>
        <v/>
      </c>
      <c r="E35" s="50" t="str">
        <f>IF($C$8=4,HLOOKUP($E$9,TÁBUAS!$CY$10:$DD$138,CONSULTA!A35+3),"")</f>
        <v/>
      </c>
      <c r="N35" s="80" t="s">
        <v>254</v>
      </c>
      <c r="P35" s="80"/>
    </row>
    <row r="36" spans="1:16" ht="15.75">
      <c r="A36" s="67">
        <v>25</v>
      </c>
      <c r="B36" s="50" cm="1">
        <f t="array" ref="B36">IF($C$8=1,HLOOKUP($B$9,TÁBUAS!$B$10:$BU$138,_xlfn.SINGLE(CONSULTA!A36)+3,0),"")</f>
        <v>4.332122E-4</v>
      </c>
      <c r="C36" s="50" t="str">
        <f>IF($C$8=2,HLOOKUP($C$9,TÁBUAS!$BV$10:$CH$138,CONSULTA!A36+3),"")</f>
        <v/>
      </c>
      <c r="D36" s="50" t="str">
        <f>IF($C$8=3,HLOOKUP($D$9,TÁBUAS!$CI$10:$CX$138,CONSULTA!A36+3),"")</f>
        <v/>
      </c>
      <c r="E36" s="50" t="str">
        <f>IF($C$8=4,HLOOKUP($E$9,TÁBUAS!$CY$10:$DD$138,CONSULTA!A36+3),"")</f>
        <v/>
      </c>
      <c r="N36" s="80" t="s">
        <v>256</v>
      </c>
      <c r="P36" s="80"/>
    </row>
    <row r="37" spans="1:16" ht="15.75">
      <c r="A37" s="67">
        <v>26</v>
      </c>
      <c r="B37" s="50" cm="1">
        <f t="array" ref="B37">IF($C$8=1,HLOOKUP($B$9,TÁBUAS!$B$10:$BU$138,_xlfn.SINGLE(CONSULTA!A37)+3,0),"")</f>
        <v>4.3741910000000001E-4</v>
      </c>
      <c r="C37" s="50" t="str">
        <f>IF($C$8=2,HLOOKUP($C$9,TÁBUAS!$BV$10:$CH$138,CONSULTA!A37+3),"")</f>
        <v/>
      </c>
      <c r="D37" s="50" t="str">
        <f>IF($C$8=3,HLOOKUP($D$9,TÁBUAS!$CI$10:$CX$138,CONSULTA!A37+3),"")</f>
        <v/>
      </c>
      <c r="E37" s="50" t="str">
        <f>IF($C$8=4,HLOOKUP($E$9,TÁBUAS!$CY$10:$DD$138,CONSULTA!A37+3),"")</f>
        <v/>
      </c>
      <c r="N37" s="80" t="s">
        <v>257</v>
      </c>
      <c r="P37" s="80"/>
    </row>
    <row r="38" spans="1:16" ht="15.75">
      <c r="A38" s="67">
        <v>27</v>
      </c>
      <c r="B38" s="50" cm="1">
        <f t="array" ref="B38">IF($C$8=1,HLOOKUP($B$9,TÁBUAS!$B$10:$BU$138,_xlfn.SINGLE(CONSULTA!A38)+3,0),"")</f>
        <v>4.4452640000000002E-4</v>
      </c>
      <c r="C38" s="50" t="str">
        <f>IF($C$8=2,HLOOKUP($C$9,TÁBUAS!$BV$10:$CH$138,CONSULTA!A38+3),"")</f>
        <v/>
      </c>
      <c r="D38" s="50" t="str">
        <f>IF($C$8=3,HLOOKUP($D$9,TÁBUAS!$CI$10:$CX$138,CONSULTA!A38+3),"")</f>
        <v/>
      </c>
      <c r="E38" s="50" t="str">
        <f>IF($C$8=4,HLOOKUP($E$9,TÁBUAS!$CY$10:$DD$138,CONSULTA!A38+3),"")</f>
        <v/>
      </c>
      <c r="N38" s="80" t="s">
        <v>258</v>
      </c>
    </row>
    <row r="39" spans="1:16" ht="15.75">
      <c r="A39" s="67">
        <v>28</v>
      </c>
      <c r="B39" s="50" cm="1">
        <f t="array" ref="B39">IF($C$8=1,HLOOKUP($B$9,TÁBUAS!$B$10:$BU$138,_xlfn.SINGLE(CONSULTA!A39)+3,0),"")</f>
        <v>4.5510750000000001E-4</v>
      </c>
      <c r="C39" s="50" t="str">
        <f>IF($C$8=2,HLOOKUP($C$9,TÁBUAS!$BV$10:$CH$138,CONSULTA!A39+3),"")</f>
        <v/>
      </c>
      <c r="D39" s="50" t="str">
        <f>IF($C$8=3,HLOOKUP($D$9,TÁBUAS!$CI$10:$CX$138,CONSULTA!A39+3),"")</f>
        <v/>
      </c>
      <c r="E39" s="50" t="str">
        <f>IF($C$8=4,HLOOKUP($E$9,TÁBUAS!$CY$10:$DD$138,CONSULTA!A39+3),"")</f>
        <v/>
      </c>
      <c r="N39" s="80" t="s">
        <v>259</v>
      </c>
    </row>
    <row r="40" spans="1:16" ht="15.75">
      <c r="A40" s="67">
        <v>29</v>
      </c>
      <c r="B40" s="50" cm="1">
        <f t="array" ref="B40">IF($C$8=1,HLOOKUP($B$9,TÁBUAS!$B$10:$BU$138,_xlfn.SINGLE(CONSULTA!A40)+3,0),"")</f>
        <v>4.6957379999999999E-4</v>
      </c>
      <c r="C40" s="50" t="str">
        <f>IF($C$8=2,HLOOKUP($C$9,TÁBUAS!$BV$10:$CH$138,CONSULTA!A40+3),"")</f>
        <v/>
      </c>
      <c r="D40" s="50" t="str">
        <f>IF($C$8=3,HLOOKUP($D$9,TÁBUAS!$CI$10:$CX$138,CONSULTA!A40+3),"")</f>
        <v/>
      </c>
      <c r="E40" s="50" t="str">
        <f>IF($C$8=4,HLOOKUP($E$9,TÁBUAS!$CY$10:$DD$138,CONSULTA!A40+3),"")</f>
        <v/>
      </c>
      <c r="N40" s="80" t="s">
        <v>147</v>
      </c>
    </row>
    <row r="41" spans="1:16" ht="15.75">
      <c r="A41" s="67">
        <v>30</v>
      </c>
      <c r="B41" s="50" cm="1">
        <f t="array" ref="B41">IF($C$8=1,HLOOKUP($B$9,TÁBUAS!$B$10:$BU$138,_xlfn.SINGLE(CONSULTA!A41)+3,0),"")</f>
        <v>4.8824099999999999E-4</v>
      </c>
      <c r="C41" s="50" t="str">
        <f>IF($C$8=2,HLOOKUP($C$9,TÁBUAS!$BV$10:$CH$138,CONSULTA!A41+3),"")</f>
        <v/>
      </c>
      <c r="D41" s="50" t="str">
        <f>IF($C$8=3,HLOOKUP($D$9,TÁBUAS!$CI$10:$CX$138,CONSULTA!A41+3),"")</f>
        <v/>
      </c>
      <c r="E41" s="50" t="str">
        <f>IF($C$8=4,HLOOKUP($E$9,TÁBUAS!$CY$10:$DD$138,CONSULTA!A41+3),"")</f>
        <v/>
      </c>
      <c r="N41" s="82" t="s">
        <v>12</v>
      </c>
    </row>
    <row r="42" spans="1:16" ht="15.75">
      <c r="A42" s="67">
        <v>31</v>
      </c>
      <c r="B42" s="50" cm="1">
        <f t="array" ref="B42">IF($C$8=1,HLOOKUP($B$9,TÁBUAS!$B$10:$BU$138,_xlfn.SINGLE(CONSULTA!A42)+3,0),"")</f>
        <v>5.1126440000000002E-4</v>
      </c>
      <c r="C42" s="50" t="str">
        <f>IF($C$8=2,HLOOKUP($C$9,TÁBUAS!$BV$10:$CH$138,CONSULTA!A42+3),"")</f>
        <v/>
      </c>
      <c r="D42" s="50" t="str">
        <f>IF($C$8=3,HLOOKUP($D$9,TÁBUAS!$CI$10:$CX$138,CONSULTA!A42+3),"")</f>
        <v/>
      </c>
      <c r="E42" s="50" t="str">
        <f>IF($C$8=4,HLOOKUP($E$9,TÁBUAS!$CY$10:$DD$138,CONSULTA!A42+3),"")</f>
        <v/>
      </c>
      <c r="N42" s="80" t="s">
        <v>13</v>
      </c>
    </row>
    <row r="43" spans="1:16" ht="15.75">
      <c r="A43" s="67">
        <v>32</v>
      </c>
      <c r="B43" s="50" cm="1">
        <f t="array" ref="B43">IF($C$8=1,HLOOKUP($B$9,TÁBUAS!$B$10:$BU$138,_xlfn.SINGLE(CONSULTA!A43)+3,0),"")</f>
        <v>5.3902799999999999E-4</v>
      </c>
      <c r="C43" s="50" t="str">
        <f>IF($C$8=2,HLOOKUP($C$9,TÁBUAS!$BV$10:$CH$138,CONSULTA!A43+3),"")</f>
        <v/>
      </c>
      <c r="D43" s="50" t="str">
        <f>IF($C$8=3,HLOOKUP($D$9,TÁBUAS!$CI$10:$CX$138,CONSULTA!A43+3),"")</f>
        <v/>
      </c>
      <c r="E43" s="50" t="str">
        <f>IF($C$8=4,HLOOKUP($E$9,TÁBUAS!$CY$10:$DD$138,CONSULTA!A43+3),"")</f>
        <v/>
      </c>
      <c r="N43" s="80" t="s">
        <v>226</v>
      </c>
    </row>
    <row r="44" spans="1:16" ht="15.75">
      <c r="A44" s="67">
        <v>33</v>
      </c>
      <c r="B44" s="50" cm="1">
        <f t="array" ref="B44">IF($C$8=1,HLOOKUP($B$9,TÁBUAS!$B$10:$BU$138,_xlfn.SINGLE(CONSULTA!A44)+3,0),"")</f>
        <v>5.7165130000000005E-4</v>
      </c>
      <c r="C44" s="50" t="str">
        <f>IF($C$8=2,HLOOKUP($C$9,TÁBUAS!$BV$10:$CH$138,CONSULTA!A44+3),"")</f>
        <v/>
      </c>
      <c r="D44" s="50" t="str">
        <f>IF($C$8=3,HLOOKUP($D$9,TÁBUAS!$CI$10:$CX$138,CONSULTA!A44+3),"")</f>
        <v/>
      </c>
      <c r="E44" s="50" t="str">
        <f>IF($C$8=4,HLOOKUP($E$9,TÁBUAS!$CY$10:$DD$138,CONSULTA!A44+3),"")</f>
        <v/>
      </c>
      <c r="N44" s="80" t="s">
        <v>227</v>
      </c>
    </row>
    <row r="45" spans="1:16" ht="15.75">
      <c r="A45" s="67">
        <v>34</v>
      </c>
      <c r="B45" s="50" cm="1">
        <f t="array" ref="B45">IF($C$8=1,HLOOKUP($B$9,TÁBUAS!$B$10:$BU$138,_xlfn.SINGLE(CONSULTA!A45)+3,0),"")</f>
        <v>6.0936059999999997E-4</v>
      </c>
      <c r="C45" s="50" t="str">
        <f>IF($C$8=2,HLOOKUP($C$9,TÁBUAS!$BV$10:$CH$138,CONSULTA!A45+3),"")</f>
        <v/>
      </c>
      <c r="D45" s="50" t="str">
        <f>IF($C$8=3,HLOOKUP($D$9,TÁBUAS!$CI$10:$CX$138,CONSULTA!A45+3),"")</f>
        <v/>
      </c>
      <c r="E45" s="50" t="str">
        <f>IF($C$8=4,HLOOKUP($E$9,TÁBUAS!$CY$10:$DD$138,CONSULTA!A45+3),"")</f>
        <v/>
      </c>
      <c r="N45" s="80" t="s">
        <v>228</v>
      </c>
    </row>
    <row r="46" spans="1:16" ht="15.75">
      <c r="A46" s="67">
        <v>35</v>
      </c>
      <c r="B46" s="50" cm="1">
        <f t="array" ref="B46">IF($C$8=1,HLOOKUP($B$9,TÁBUAS!$B$10:$BU$138,_xlfn.SINGLE(CONSULTA!A46)+3,0),"")</f>
        <v>6.5247999999999999E-4</v>
      </c>
      <c r="C46" s="50" t="str">
        <f>IF($C$8=2,HLOOKUP($C$9,TÁBUAS!$BV$10:$CH$138,CONSULTA!A46+3),"")</f>
        <v/>
      </c>
      <c r="D46" s="50" t="str">
        <f>IF($C$8=3,HLOOKUP($D$9,TÁBUAS!$CI$10:$CX$138,CONSULTA!A46+3),"")</f>
        <v/>
      </c>
      <c r="E46" s="50" t="str">
        <f>IF($C$8=4,HLOOKUP($E$9,TÁBUAS!$CY$10:$DD$138,CONSULTA!A46+3),"")</f>
        <v/>
      </c>
      <c r="N46" s="80" t="s">
        <v>216</v>
      </c>
    </row>
    <row r="47" spans="1:16" ht="15.75">
      <c r="A47" s="67">
        <v>36</v>
      </c>
      <c r="B47" s="50" cm="1">
        <f t="array" ref="B47">IF($C$8=1,HLOOKUP($B$9,TÁBUAS!$B$10:$BU$138,_xlfn.SINGLE(CONSULTA!A47)+3,0),"")</f>
        <v>7.0122119999999999E-4</v>
      </c>
      <c r="C47" s="50" t="str">
        <f>IF($C$8=2,HLOOKUP($C$9,TÁBUAS!$BV$10:$CH$138,CONSULTA!A47+3),"")</f>
        <v/>
      </c>
      <c r="D47" s="50" t="str">
        <f>IF($C$8=3,HLOOKUP($D$9,TÁBUAS!$CI$10:$CX$138,CONSULTA!A47+3),"")</f>
        <v/>
      </c>
      <c r="E47" s="50" t="str">
        <f>IF($C$8=4,HLOOKUP($E$9,TÁBUAS!$CY$10:$DD$138,CONSULTA!A47+3),"")</f>
        <v/>
      </c>
      <c r="N47" s="80" t="s">
        <v>223</v>
      </c>
    </row>
    <row r="48" spans="1:16" ht="15.75">
      <c r="A48" s="67">
        <v>37</v>
      </c>
      <c r="B48" s="50" cm="1">
        <f t="array" ref="B48">IF($C$8=1,HLOOKUP($B$9,TÁBUAS!$B$10:$BU$138,_xlfn.SINGLE(CONSULTA!A48)+3,0),"")</f>
        <v>7.5594900000000001E-4</v>
      </c>
      <c r="C48" s="50" t="str">
        <f>IF($C$8=2,HLOOKUP($C$9,TÁBUAS!$BV$10:$CH$138,CONSULTA!A48+3),"")</f>
        <v/>
      </c>
      <c r="D48" s="50" t="str">
        <f>IF($C$8=3,HLOOKUP($D$9,TÁBUAS!$CI$10:$CX$138,CONSULTA!A48+3),"")</f>
        <v/>
      </c>
      <c r="E48" s="50" t="str">
        <f>IF($C$8=4,HLOOKUP($E$9,TÁBUAS!$CY$10:$DD$138,CONSULTA!A48+3),"")</f>
        <v/>
      </c>
      <c r="N48" s="80" t="s">
        <v>224</v>
      </c>
    </row>
    <row r="49" spans="1:14" ht="15.75">
      <c r="A49" s="67">
        <v>38</v>
      </c>
      <c r="B49" s="50" cm="1">
        <f t="array" ref="B49">IF($C$8=1,HLOOKUP($B$9,TÁBUAS!$B$10:$BU$138,_xlfn.SINGLE(CONSULTA!A49)+3,0),"")</f>
        <v>8.1708849999999995E-4</v>
      </c>
      <c r="C49" s="50" t="str">
        <f>IF($C$8=2,HLOOKUP($C$9,TÁBUAS!$BV$10:$CH$138,CONSULTA!A49+3),"")</f>
        <v/>
      </c>
      <c r="D49" s="50" t="str">
        <f>IF($C$8=3,HLOOKUP($D$9,TÁBUAS!$CI$10:$CX$138,CONSULTA!A49+3),"")</f>
        <v/>
      </c>
      <c r="E49" s="50" t="str">
        <f>IF($C$8=4,HLOOKUP($E$9,TÁBUAS!$CY$10:$DD$138,CONSULTA!A49+3),"")</f>
        <v/>
      </c>
      <c r="N49" s="80" t="s">
        <v>225</v>
      </c>
    </row>
    <row r="50" spans="1:14" ht="15.75">
      <c r="A50" s="67">
        <v>39</v>
      </c>
      <c r="B50" s="50" cm="1">
        <f t="array" ref="B50">IF($C$8=1,HLOOKUP($B$9,TÁBUAS!$B$10:$BU$138,_xlfn.SINGLE(CONSULTA!A50)+3,0),"")</f>
        <v>8.8508990000000002E-4</v>
      </c>
      <c r="C50" s="50" t="str">
        <f>IF($C$8=2,HLOOKUP($C$9,TÁBUAS!$BV$10:$CH$138,CONSULTA!A50+3),"")</f>
        <v/>
      </c>
      <c r="D50" s="50" t="str">
        <f>IF($C$8=3,HLOOKUP($D$9,TÁBUAS!$CI$10:$CX$138,CONSULTA!A50+3),"")</f>
        <v/>
      </c>
      <c r="E50" s="50" t="str">
        <f>IF($C$8=4,HLOOKUP($E$9,TÁBUAS!$CY$10:$DD$138,CONSULTA!A50+3),"")</f>
        <v/>
      </c>
      <c r="N50" s="80" t="s">
        <v>7</v>
      </c>
    </row>
    <row r="51" spans="1:14" ht="15.75">
      <c r="A51" s="67">
        <v>40</v>
      </c>
      <c r="B51" s="50" cm="1">
        <f t="array" ref="B51">IF($C$8=1,HLOOKUP($B$9,TÁBUAS!$B$10:$BU$138,_xlfn.SINGLE(CONSULTA!A51)+3,0),"")</f>
        <v>9.6042070000000005E-4</v>
      </c>
      <c r="C51" s="50" t="str">
        <f>IF($C$8=2,HLOOKUP($C$9,TÁBUAS!$BV$10:$CH$138,CONSULTA!A51+3),"")</f>
        <v/>
      </c>
      <c r="D51" s="50" t="str">
        <f>IF($C$8=3,HLOOKUP($D$9,TÁBUAS!$CI$10:$CX$138,CONSULTA!A51+3),"")</f>
        <v/>
      </c>
      <c r="E51" s="50" t="str">
        <f>IF($C$8=4,HLOOKUP($E$9,TÁBUAS!$CY$10:$DD$138,CONSULTA!A51+3),"")</f>
        <v/>
      </c>
      <c r="N51" s="80" t="s">
        <v>15</v>
      </c>
    </row>
    <row r="52" spans="1:14" ht="15.75">
      <c r="A52" s="67">
        <v>41</v>
      </c>
      <c r="B52" s="50" cm="1">
        <f t="array" ref="B52">IF($C$8=1,HLOOKUP($B$9,TÁBUAS!$B$10:$BU$138,_xlfn.SINGLE(CONSULTA!A52)+3,0),"")</f>
        <v>1.0437383999999999E-3</v>
      </c>
      <c r="C52" s="50" t="str">
        <f>IF($C$8=2,HLOOKUP($C$9,TÁBUAS!$BV$10:$CH$138,CONSULTA!A52+3),"")</f>
        <v/>
      </c>
      <c r="D52" s="50" t="str">
        <f>IF($C$8=3,HLOOKUP($D$9,TÁBUAS!$CI$10:$CX$138,CONSULTA!A52+3),"")</f>
        <v/>
      </c>
      <c r="E52" s="50" t="str">
        <f>IF($C$8=4,HLOOKUP($E$9,TÁBUAS!$CY$10:$DD$138,CONSULTA!A52+3),"")</f>
        <v/>
      </c>
      <c r="N52" s="80" t="s">
        <v>229</v>
      </c>
    </row>
    <row r="53" spans="1:14" ht="15.75">
      <c r="A53" s="67">
        <v>42</v>
      </c>
      <c r="B53" s="50" cm="1">
        <f t="array" ref="B53">IF($C$8=1,HLOOKUP($B$9,TÁBUAS!$B$10:$BU$138,_xlfn.SINGLE(CONSULTA!A53)+3,0),"")</f>
        <v>1.1356210000000001E-3</v>
      </c>
      <c r="C53" s="50" t="str">
        <f>IF($C$8=2,HLOOKUP($C$9,TÁBUAS!$BV$10:$CH$138,CONSULTA!A53+3),"")</f>
        <v/>
      </c>
      <c r="D53" s="50" t="str">
        <f>IF($C$8=3,HLOOKUP($D$9,TÁBUAS!$CI$10:$CX$138,CONSULTA!A53+3),"")</f>
        <v/>
      </c>
      <c r="E53" s="50" t="str">
        <f>IF($C$8=4,HLOOKUP($E$9,TÁBUAS!$CY$10:$DD$138,CONSULTA!A53+3),"")</f>
        <v/>
      </c>
      <c r="N53" s="80" t="s">
        <v>244</v>
      </c>
    </row>
    <row r="54" spans="1:14" ht="15.75">
      <c r="A54" s="67">
        <v>43</v>
      </c>
      <c r="B54" s="50" cm="1">
        <f t="array" ref="B54">IF($C$8=1,HLOOKUP($B$9,TÁBUAS!$B$10:$BU$138,_xlfn.SINGLE(CONSULTA!A54)+3,0),"")</f>
        <v>1.2368705999999999E-3</v>
      </c>
      <c r="C54" s="50" t="str">
        <f>IF($C$8=2,HLOOKUP($C$9,TÁBUAS!$BV$10:$CH$138,CONSULTA!A54+3),"")</f>
        <v/>
      </c>
      <c r="D54" s="50" t="str">
        <f>IF($C$8=3,HLOOKUP($D$9,TÁBUAS!$CI$10:$CX$138,CONSULTA!A54+3),"")</f>
        <v/>
      </c>
      <c r="E54" s="50" t="str">
        <f>IF($C$8=4,HLOOKUP($E$9,TÁBUAS!$CY$10:$DD$138,CONSULTA!A54+3),"")</f>
        <v/>
      </c>
      <c r="N54" s="82" t="s">
        <v>205</v>
      </c>
    </row>
    <row r="55" spans="1:14" ht="15.75">
      <c r="A55" s="67">
        <v>44</v>
      </c>
      <c r="B55" s="50" cm="1">
        <f t="array" ref="B55">IF($C$8=1,HLOOKUP($B$9,TÁBUAS!$B$10:$BU$138,_xlfn.SINGLE(CONSULTA!A55)+3,0),"")</f>
        <v>1.3483462999999999E-3</v>
      </c>
      <c r="C55" s="50" t="str">
        <f>IF($C$8=2,HLOOKUP($C$9,TÁBUAS!$BV$10:$CH$138,CONSULTA!A55+3),"")</f>
        <v/>
      </c>
      <c r="D55" s="50" t="str">
        <f>IF($C$8=3,HLOOKUP($D$9,TÁBUAS!$CI$10:$CX$138,CONSULTA!A55+3),"")</f>
        <v/>
      </c>
      <c r="E55" s="50" t="str">
        <f>IF($C$8=4,HLOOKUP($E$9,TÁBUAS!$CY$10:$DD$138,CONSULTA!A55+3),"")</f>
        <v/>
      </c>
      <c r="N55" s="80" t="s">
        <v>230</v>
      </c>
    </row>
    <row r="56" spans="1:14" ht="15.75">
      <c r="A56" s="67">
        <v>45</v>
      </c>
      <c r="B56" s="50" cm="1">
        <f t="array" ref="B56">IF($C$8=1,HLOOKUP($B$9,TÁBUAS!$B$10:$BU$138,_xlfn.SINGLE(CONSULTA!A56)+3,0),"")</f>
        <v>1.4708875999999999E-3</v>
      </c>
      <c r="C56" s="50" t="str">
        <f>IF($C$8=2,HLOOKUP($C$9,TÁBUAS!$BV$10:$CH$138,CONSULTA!A56+3),"")</f>
        <v/>
      </c>
      <c r="D56" s="50" t="str">
        <f>IF($C$8=3,HLOOKUP($D$9,TÁBUAS!$CI$10:$CX$138,CONSULTA!A56+3),"")</f>
        <v/>
      </c>
      <c r="E56" s="50" t="str">
        <f>IF($C$8=4,HLOOKUP($E$9,TÁBUAS!$CY$10:$DD$138,CONSULTA!A56+3),"")</f>
        <v/>
      </c>
      <c r="N56" s="82" t="s">
        <v>245</v>
      </c>
    </row>
    <row r="57" spans="1:14" ht="15.75">
      <c r="A57" s="67">
        <v>46</v>
      </c>
      <c r="B57" s="50" cm="1">
        <f t="array" ref="B57">IF($C$8=1,HLOOKUP($B$9,TÁBUAS!$B$10:$BU$138,_xlfn.SINGLE(CONSULTA!A57)+3,0),"")</f>
        <v>1.6056642E-3</v>
      </c>
      <c r="C57" s="50" t="str">
        <f>IF($C$8=2,HLOOKUP($C$9,TÁBUAS!$BV$10:$CH$138,CONSULTA!A57+3),"")</f>
        <v/>
      </c>
      <c r="D57" s="50" t="str">
        <f>IF($C$8=3,HLOOKUP($D$9,TÁBUAS!$CI$10:$CX$138,CONSULTA!A57+3),"")</f>
        <v/>
      </c>
      <c r="E57" s="50" t="str">
        <f>IF($C$8=4,HLOOKUP($E$9,TÁBUAS!$CY$10:$DD$138,CONSULTA!A57+3),"")</f>
        <v/>
      </c>
      <c r="N57" s="80" t="s">
        <v>14</v>
      </c>
    </row>
    <row r="58" spans="1:14" ht="15.75">
      <c r="A58" s="67">
        <v>47</v>
      </c>
      <c r="B58" s="50" cm="1">
        <f t="array" ref="B58">IF($C$8=1,HLOOKUP($B$9,TÁBUAS!$B$10:$BU$138,_xlfn.SINGLE(CONSULTA!A58)+3,0),"")</f>
        <v>1.7536568E-3</v>
      </c>
      <c r="C58" s="50" t="str">
        <f>IF($C$8=2,HLOOKUP($C$9,TÁBUAS!$BV$10:$CH$138,CONSULTA!A58+3),"")</f>
        <v/>
      </c>
      <c r="D58" s="50" t="str">
        <f>IF($C$8=3,HLOOKUP($D$9,TÁBUAS!$CI$10:$CX$138,CONSULTA!A58+3),"")</f>
        <v/>
      </c>
      <c r="E58" s="50" t="str">
        <f>IF($C$8=4,HLOOKUP($E$9,TÁBUAS!$CY$10:$DD$138,CONSULTA!A58+3),"")</f>
        <v/>
      </c>
      <c r="N58" s="82" t="s">
        <v>207</v>
      </c>
    </row>
    <row r="59" spans="1:14" ht="15.75">
      <c r="A59" s="67">
        <v>48</v>
      </c>
      <c r="B59" s="50" cm="1">
        <f t="array" ref="B59">IF($C$8=1,HLOOKUP($B$9,TÁBUAS!$B$10:$BU$138,_xlfn.SINGLE(CONSULTA!A59)+3,0),"")</f>
        <v>1.9163234000000001E-3</v>
      </c>
      <c r="C59" s="50" t="str">
        <f>IF($C$8=2,HLOOKUP($C$9,TÁBUAS!$BV$10:$CH$138,CONSULTA!A59+3),"")</f>
        <v/>
      </c>
      <c r="D59" s="50" t="str">
        <f>IF($C$8=3,HLOOKUP($D$9,TÁBUAS!$CI$10:$CX$138,CONSULTA!A59+3),"")</f>
        <v/>
      </c>
      <c r="E59" s="50" t="str">
        <f>IF($C$8=4,HLOOKUP($E$9,TÁBUAS!$CY$10:$DD$138,CONSULTA!A59+3),"")</f>
        <v/>
      </c>
      <c r="N59" s="82" t="s">
        <v>152</v>
      </c>
    </row>
    <row r="60" spans="1:14" ht="15.75">
      <c r="A60" s="67">
        <v>49</v>
      </c>
      <c r="B60" s="50" cm="1">
        <f t="array" ref="B60">IF($C$8=1,HLOOKUP($B$9,TÁBUAS!$B$10:$BU$138,_xlfn.SINGLE(CONSULTA!A60)+3,0),"")</f>
        <v>2.0948383E-3</v>
      </c>
      <c r="C60" s="50" t="str">
        <f>IF($C$8=2,HLOOKUP($C$9,TÁBUAS!$BV$10:$CH$138,CONSULTA!A60+3),"")</f>
        <v/>
      </c>
      <c r="D60" s="50" t="str">
        <f>IF($C$8=3,HLOOKUP($D$9,TÁBUAS!$CI$10:$CX$138,CONSULTA!A60+3),"")</f>
        <v/>
      </c>
      <c r="E60" s="50" t="str">
        <f>IF($C$8=4,HLOOKUP($E$9,TÁBUAS!$CY$10:$DD$138,CONSULTA!A60+3),"")</f>
        <v/>
      </c>
      <c r="N60" s="82" t="s">
        <v>144</v>
      </c>
    </row>
    <row r="61" spans="1:14" ht="15.75">
      <c r="A61" s="67">
        <v>50</v>
      </c>
      <c r="B61" s="50" cm="1">
        <f t="array" ref="B61">IF($C$8=1,HLOOKUP($B$9,TÁBUAS!$B$10:$BU$138,_xlfn.SINGLE(CONSULTA!A61)+3,0),"")</f>
        <v>2.2907591999999999E-3</v>
      </c>
      <c r="C61" s="50" t="str">
        <f>IF($C$8=2,HLOOKUP($C$9,TÁBUAS!$BV$10:$CH$138,CONSULTA!A61+3),"")</f>
        <v/>
      </c>
      <c r="D61" s="50" t="str">
        <f>IF($C$8=3,HLOOKUP($D$9,TÁBUAS!$CI$10:$CX$138,CONSULTA!A61+3),"")</f>
        <v/>
      </c>
      <c r="E61" s="50" t="str">
        <f>IF($C$8=4,HLOOKUP($E$9,TÁBUAS!$CY$10:$DD$138,CONSULTA!A61+3),"")</f>
        <v/>
      </c>
      <c r="N61" s="82" t="s">
        <v>145</v>
      </c>
    </row>
    <row r="62" spans="1:14" ht="15.75">
      <c r="A62" s="67">
        <v>51</v>
      </c>
      <c r="B62" s="50" cm="1">
        <f t="array" ref="B62">IF($C$8=1,HLOOKUP($B$9,TÁBUAS!$B$10:$BU$138,_xlfn.SINGLE(CONSULTA!A62)+3,0),"")</f>
        <v>2.5058503000000001E-3</v>
      </c>
      <c r="C62" s="50" t="str">
        <f>IF($C$8=2,HLOOKUP($C$9,TÁBUAS!$BV$10:$CH$138,CONSULTA!A62+3),"")</f>
        <v/>
      </c>
      <c r="D62" s="50" t="str">
        <f>IF($C$8=3,HLOOKUP($D$9,TÁBUAS!$CI$10:$CX$138,CONSULTA!A62+3),"")</f>
        <v/>
      </c>
      <c r="E62" s="50" t="str">
        <f>IF($C$8=4,HLOOKUP($E$9,TÁBUAS!$CY$10:$DD$138,CONSULTA!A62+3),"")</f>
        <v/>
      </c>
      <c r="N62" s="80" t="s">
        <v>151</v>
      </c>
    </row>
    <row r="63" spans="1:14" ht="15.75">
      <c r="A63" s="67">
        <v>52</v>
      </c>
      <c r="B63" s="50" cm="1">
        <f t="array" ref="B63">IF($C$8=1,HLOOKUP($B$9,TÁBUAS!$B$10:$BU$138,_xlfn.SINGLE(CONSULTA!A63)+3,0),"")</f>
        <v>2.7417308999999998E-3</v>
      </c>
      <c r="C63" s="50" t="str">
        <f>IF($C$8=2,HLOOKUP($C$9,TÁBUAS!$BV$10:$CH$138,CONSULTA!A63+3),"")</f>
        <v/>
      </c>
      <c r="D63" s="50" t="str">
        <f>IF($C$8=3,HLOOKUP($D$9,TÁBUAS!$CI$10:$CX$138,CONSULTA!A63+3),"")</f>
        <v/>
      </c>
      <c r="E63" s="50" t="str">
        <f>IF($C$8=4,HLOOKUP($E$9,TÁBUAS!$CY$10:$DD$138,CONSULTA!A63+3),"")</f>
        <v/>
      </c>
      <c r="N63" s="80" t="s">
        <v>208</v>
      </c>
    </row>
    <row r="64" spans="1:14" ht="15.75">
      <c r="A64" s="67">
        <v>53</v>
      </c>
      <c r="B64" s="50" cm="1">
        <f t="array" ref="B64">IF($C$8=1,HLOOKUP($B$9,TÁBUAS!$B$10:$BU$138,_xlfn.SINGLE(CONSULTA!A64)+3,0),"")</f>
        <v>3.0007045E-3</v>
      </c>
      <c r="C64" s="50" t="str">
        <f>IF($C$8=2,HLOOKUP($C$9,TÁBUAS!$BV$10:$CH$138,CONSULTA!A64+3),"")</f>
        <v/>
      </c>
      <c r="D64" s="50" t="str">
        <f>IF($C$8=3,HLOOKUP($D$9,TÁBUAS!$CI$10:$CX$138,CONSULTA!A64+3),"")</f>
        <v/>
      </c>
      <c r="E64" s="50" t="str">
        <f>IF($C$8=4,HLOOKUP($E$9,TÁBUAS!$CY$10:$DD$138,CONSULTA!A64+3),"")</f>
        <v/>
      </c>
      <c r="N64" s="80" t="s">
        <v>209</v>
      </c>
    </row>
    <row r="65" spans="1:14" ht="15.75">
      <c r="A65" s="67">
        <v>54</v>
      </c>
      <c r="B65" s="50" cm="1">
        <f t="array" ref="B65">IF($C$8=1,HLOOKUP($B$9,TÁBUAS!$B$10:$BU$138,_xlfn.SINGLE(CONSULTA!A65)+3,0),"")</f>
        <v>3.2849944E-3</v>
      </c>
      <c r="C65" s="50" t="str">
        <f>IF($C$8=2,HLOOKUP($C$9,TÁBUAS!$BV$10:$CH$138,CONSULTA!A65+3),"")</f>
        <v/>
      </c>
      <c r="D65" s="50" t="str">
        <f>IF($C$8=3,HLOOKUP($D$9,TÁBUAS!$CI$10:$CX$138,CONSULTA!A65+3),"")</f>
        <v/>
      </c>
      <c r="E65" s="50" t="str">
        <f>IF($C$8=4,HLOOKUP($E$9,TÁBUAS!$CY$10:$DD$138,CONSULTA!A65+3),"")</f>
        <v/>
      </c>
      <c r="N65" s="80" t="s">
        <v>142</v>
      </c>
    </row>
    <row r="66" spans="1:14" ht="15.75">
      <c r="A66" s="67">
        <v>55</v>
      </c>
      <c r="B66" s="50" cm="1">
        <f t="array" ref="B66">IF($C$8=1,HLOOKUP($B$9,TÁBUAS!$B$10:$BU$138,_xlfn.SINGLE(CONSULTA!A66)+3,0),"")</f>
        <v>3.5968481000000002E-3</v>
      </c>
      <c r="C66" s="50" t="str">
        <f>IF($C$8=2,HLOOKUP($C$9,TÁBUAS!$BV$10:$CH$138,CONSULTA!A66+3),"")</f>
        <v/>
      </c>
      <c r="D66" s="50" t="str">
        <f>IF($C$8=3,HLOOKUP($D$9,TÁBUAS!$CI$10:$CX$138,CONSULTA!A66+3),"")</f>
        <v/>
      </c>
      <c r="E66" s="50" t="str">
        <f>IF($C$8=4,HLOOKUP($E$9,TÁBUAS!$CY$10:$DD$138,CONSULTA!A66+3),"")</f>
        <v/>
      </c>
      <c r="N66" s="82" t="s">
        <v>140</v>
      </c>
    </row>
    <row r="67" spans="1:14" ht="15.75">
      <c r="A67" s="67">
        <v>56</v>
      </c>
      <c r="B67" s="50" cm="1">
        <f t="array" ref="B67">IF($C$8=1,HLOOKUP($B$9,TÁBUAS!$B$10:$BU$138,_xlfn.SINGLE(CONSULTA!A67)+3,0),"")</f>
        <v>3.9388176E-3</v>
      </c>
      <c r="C67" s="50" t="str">
        <f>IF($C$8=2,HLOOKUP($C$9,TÁBUAS!$BV$10:$CH$138,CONSULTA!A67+3),"")</f>
        <v/>
      </c>
      <c r="D67" s="50" t="str">
        <f>IF($C$8=3,HLOOKUP($D$9,TÁBUAS!$CI$10:$CX$138,CONSULTA!A67+3),"")</f>
        <v/>
      </c>
      <c r="E67" s="50" t="str">
        <f>IF($C$8=4,HLOOKUP($E$9,TÁBUAS!$CY$10:$DD$138,CONSULTA!A67+3),"")</f>
        <v/>
      </c>
      <c r="N67" s="80" t="s">
        <v>248</v>
      </c>
    </row>
    <row r="68" spans="1:14" ht="15.75">
      <c r="A68" s="67">
        <v>57</v>
      </c>
      <c r="B68" s="50" cm="1">
        <f t="array" ref="B68">IF($C$8=1,HLOOKUP($B$9,TÁBUAS!$B$10:$BU$138,_xlfn.SINGLE(CONSULTA!A68)+3,0),"")</f>
        <v>4.3144354999999999E-3</v>
      </c>
      <c r="C68" s="50" t="str">
        <f>IF($C$8=2,HLOOKUP($C$9,TÁBUAS!$BV$10:$CH$138,CONSULTA!A68+3),"")</f>
        <v/>
      </c>
      <c r="D68" s="50" t="str">
        <f>IF($C$8=3,HLOOKUP($D$9,TÁBUAS!$CI$10:$CX$138,CONSULTA!A68+3),"")</f>
        <v/>
      </c>
      <c r="E68" s="50" t="str">
        <f>IF($C$8=4,HLOOKUP($E$9,TÁBUAS!$CY$10:$DD$138,CONSULTA!A68+3),"")</f>
        <v/>
      </c>
      <c r="N68" s="80" t="s">
        <v>247</v>
      </c>
    </row>
    <row r="69" spans="1:14" ht="15.75">
      <c r="A69" s="67">
        <v>58</v>
      </c>
      <c r="B69" s="50" cm="1">
        <f t="array" ref="B69">IF($C$8=1,HLOOKUP($B$9,TÁBUAS!$B$10:$BU$138,_xlfn.SINGLE(CONSULTA!A69)+3,0),"")</f>
        <v>4.7266323999999998E-3</v>
      </c>
      <c r="C69" s="50" t="str">
        <f>IF($C$8=2,HLOOKUP($C$9,TÁBUAS!$BV$10:$CH$138,CONSULTA!A69+3),"")</f>
        <v/>
      </c>
      <c r="D69" s="50" t="str">
        <f>IF($C$8=3,HLOOKUP($D$9,TÁBUAS!$CI$10:$CX$138,CONSULTA!A69+3),"")</f>
        <v/>
      </c>
      <c r="E69" s="50" t="str">
        <f>IF($C$8=4,HLOOKUP($E$9,TÁBUAS!$CY$10:$DD$138,CONSULTA!A69+3),"")</f>
        <v/>
      </c>
      <c r="N69" s="82" t="s">
        <v>249</v>
      </c>
    </row>
    <row r="70" spans="1:14" ht="15.75">
      <c r="A70" s="67">
        <v>59</v>
      </c>
      <c r="B70" s="50" cm="1">
        <f t="array" ref="B70">IF($C$8=1,HLOOKUP($B$9,TÁBUAS!$B$10:$BU$138,_xlfn.SINGLE(CONSULTA!A70)+3,0),"")</f>
        <v>5.1783979000000003E-3</v>
      </c>
      <c r="C70" s="50" t="str">
        <f>IF($C$8=2,HLOOKUP($C$9,TÁBUAS!$BV$10:$CH$138,CONSULTA!A70+3),"")</f>
        <v/>
      </c>
      <c r="D70" s="50" t="str">
        <f>IF($C$8=3,HLOOKUP($D$9,TÁBUAS!$CI$10:$CX$138,CONSULTA!A70+3),"")</f>
        <v/>
      </c>
      <c r="E70" s="50" t="str">
        <f>IF($C$8=4,HLOOKUP($E$9,TÁBUAS!$CY$10:$DD$138,CONSULTA!A70+3),"")</f>
        <v/>
      </c>
      <c r="N70" s="80" t="s">
        <v>250</v>
      </c>
    </row>
    <row r="71" spans="1:14" ht="15.75">
      <c r="A71" s="67">
        <v>60</v>
      </c>
      <c r="B71" s="50" cm="1">
        <f t="array" ref="B71">IF($C$8=1,HLOOKUP($B$9,TÁBUAS!$B$10:$BU$138,_xlfn.SINGLE(CONSULTA!A71)+3,0),"")</f>
        <v>5.6748589000000004E-3</v>
      </c>
      <c r="C71" s="50" t="str">
        <f>IF($C$8=2,HLOOKUP($C$9,TÁBUAS!$BV$10:$CH$138,CONSULTA!A71+3),"")</f>
        <v/>
      </c>
      <c r="D71" s="50" t="str">
        <f>IF($C$8=3,HLOOKUP($D$9,TÁBUAS!$CI$10:$CX$138,CONSULTA!A71+3),"")</f>
        <v/>
      </c>
      <c r="E71" s="50" t="str">
        <f>IF($C$8=4,HLOOKUP($E$9,TÁBUAS!$CY$10:$DD$138,CONSULTA!A71+3),"")</f>
        <v/>
      </c>
      <c r="N71" s="80" t="s">
        <v>148</v>
      </c>
    </row>
    <row r="72" spans="1:14" ht="15.75">
      <c r="A72" s="67">
        <v>61</v>
      </c>
      <c r="B72" s="50" cm="1">
        <f t="array" ref="B72">IF($C$8=1,HLOOKUP($B$9,TÁBUAS!$B$10:$BU$138,_xlfn.SINGLE(CONSULTA!A72)+3,0),"")</f>
        <v>6.2190159000000004E-3</v>
      </c>
      <c r="C72" s="50" t="str">
        <f>IF($C$8=2,HLOOKUP($C$9,TÁBUAS!$BV$10:$CH$138,CONSULTA!A72+3),"")</f>
        <v/>
      </c>
      <c r="D72" s="50" t="str">
        <f>IF($C$8=3,HLOOKUP($D$9,TÁBUAS!$CI$10:$CX$138,CONSULTA!A72+3),"")</f>
        <v/>
      </c>
      <c r="E72" s="50" t="str">
        <f>IF($C$8=4,HLOOKUP($E$9,TÁBUAS!$CY$10:$DD$138,CONSULTA!A72+3),"")</f>
        <v/>
      </c>
      <c r="N72" s="80" t="s">
        <v>149</v>
      </c>
    </row>
    <row r="73" spans="1:14" ht="15.75">
      <c r="A73" s="67">
        <v>62</v>
      </c>
      <c r="B73" s="50" cm="1">
        <f t="array" ref="B73">IF($C$8=1,HLOOKUP($B$9,TÁBUAS!$B$10:$BU$138,_xlfn.SINGLE(CONSULTA!A73)+3,0),"")</f>
        <v>6.8166499E-3</v>
      </c>
      <c r="C73" s="50" t="str">
        <f>IF($C$8=2,HLOOKUP($C$9,TÁBUAS!$BV$10:$CH$138,CONSULTA!A73+3),"")</f>
        <v/>
      </c>
      <c r="D73" s="50" t="str">
        <f>IF($C$8=3,HLOOKUP($D$9,TÁBUAS!$CI$10:$CX$138,CONSULTA!A73+3),"")</f>
        <v/>
      </c>
      <c r="E73" s="50" t="str">
        <f>IF($C$8=4,HLOOKUP($E$9,TÁBUAS!$CY$10:$DD$138,CONSULTA!A73+3),"")</f>
        <v/>
      </c>
      <c r="N73" s="80" t="s">
        <v>132</v>
      </c>
    </row>
    <row r="74" spans="1:14" ht="15.75">
      <c r="A74" s="67">
        <v>63</v>
      </c>
      <c r="B74" s="50" cm="1">
        <f t="array" ref="B74">IF($C$8=1,HLOOKUP($B$9,TÁBUAS!$B$10:$BU$138,_xlfn.SINGLE(CONSULTA!A74)+3,0),"")</f>
        <v>7.4716171999999999E-3</v>
      </c>
      <c r="C74" s="50" t="str">
        <f>IF($C$8=2,HLOOKUP($C$9,TÁBUAS!$BV$10:$CH$138,CONSULTA!A74+3),"")</f>
        <v/>
      </c>
      <c r="D74" s="50" t="str">
        <f>IF($C$8=3,HLOOKUP($D$9,TÁBUAS!$CI$10:$CX$138,CONSULTA!A74+3),"")</f>
        <v/>
      </c>
      <c r="E74" s="50" t="str">
        <f>IF($C$8=4,HLOOKUP($E$9,TÁBUAS!$CY$10:$DD$138,CONSULTA!A74+3),"")</f>
        <v/>
      </c>
      <c r="N74" s="80" t="s">
        <v>210</v>
      </c>
    </row>
    <row r="75" spans="1:14" ht="15.75">
      <c r="A75" s="67">
        <v>64</v>
      </c>
      <c r="B75" s="50" cm="1">
        <f t="array" ref="B75">IF($C$8=1,HLOOKUP($B$9,TÁBUAS!$B$10:$BU$138,_xlfn.SINGLE(CONSULTA!A75)+3,0),"")</f>
        <v>8.1906671999999996E-3</v>
      </c>
      <c r="C75" s="50" t="str">
        <f>IF($C$8=2,HLOOKUP($C$9,TÁBUAS!$BV$10:$CH$138,CONSULTA!A75+3),"")</f>
        <v/>
      </c>
      <c r="D75" s="50" t="str">
        <f>IF($C$8=3,HLOOKUP($D$9,TÁBUAS!$CI$10:$CX$138,CONSULTA!A75+3),"")</f>
        <v/>
      </c>
      <c r="E75" s="50" t="str">
        <f>IF($C$8=4,HLOOKUP($E$9,TÁBUAS!$CY$10:$DD$138,CONSULTA!A75+3),"")</f>
        <v/>
      </c>
      <c r="N75" s="80" t="s">
        <v>137</v>
      </c>
    </row>
    <row r="76" spans="1:14" ht="15.75">
      <c r="A76" s="67">
        <v>65</v>
      </c>
      <c r="B76" s="50" cm="1">
        <f t="array" ref="B76">IF($C$8=1,HLOOKUP($B$9,TÁBUAS!$B$10:$BU$138,_xlfn.SINGLE(CONSULTA!A76)+3,0),"")</f>
        <v>8.9797157999999995E-3</v>
      </c>
      <c r="C76" s="50" t="str">
        <f>IF($C$8=2,HLOOKUP($C$9,TÁBUAS!$BV$10:$CH$138,CONSULTA!A76+3),"")</f>
        <v/>
      </c>
      <c r="D76" s="50" t="str">
        <f>IF($C$8=3,HLOOKUP($D$9,TÁBUAS!$CI$10:$CX$138,CONSULTA!A76+3),"")</f>
        <v/>
      </c>
      <c r="E76" s="50" t="str">
        <f>IF($C$8=4,HLOOKUP($E$9,TÁBUAS!$CY$10:$DD$138,CONSULTA!A76+3),"")</f>
        <v/>
      </c>
      <c r="N76" s="80" t="s">
        <v>138</v>
      </c>
    </row>
    <row r="77" spans="1:14" ht="15.75">
      <c r="A77" s="67">
        <v>66</v>
      </c>
      <c r="B77" s="50" cm="1">
        <f t="array" ref="B77">IF($C$8=1,HLOOKUP($B$9,TÁBUAS!$B$10:$BU$138,_xlfn.SINGLE(CONSULTA!A77)+3,0),"")</f>
        <v>9.8449947999999995E-3</v>
      </c>
      <c r="C77" s="50" t="str">
        <f>IF($C$8=2,HLOOKUP($C$9,TÁBUAS!$BV$10:$CH$138,CONSULTA!A77+3),"")</f>
        <v/>
      </c>
      <c r="D77" s="50" t="str">
        <f>IF($C$8=3,HLOOKUP($D$9,TÁBUAS!$CI$10:$CX$138,CONSULTA!A77+3),"")</f>
        <v/>
      </c>
      <c r="E77" s="50" t="str">
        <f>IF($C$8=4,HLOOKUP($E$9,TÁBUAS!$CY$10:$DD$138,CONSULTA!A77+3),"")</f>
        <v/>
      </c>
      <c r="N77" s="82" t="s">
        <v>139</v>
      </c>
    </row>
    <row r="78" spans="1:14" ht="15.75">
      <c r="A78" s="67">
        <v>67</v>
      </c>
      <c r="B78" s="50" cm="1">
        <f t="array" ref="B78">IF($C$8=1,HLOOKUP($B$9,TÁBUAS!$B$10:$BU$138,_xlfn.SINGLE(CONSULTA!A78)+3,0),"")</f>
        <v>1.07955489E-2</v>
      </c>
      <c r="C78" s="50" t="str">
        <f>IF($C$8=2,HLOOKUP($C$9,TÁBUAS!$BV$10:$CH$138,CONSULTA!A78+3),"")</f>
        <v/>
      </c>
      <c r="D78" s="50" t="str">
        <f>IF($C$8=3,HLOOKUP($D$9,TÁBUAS!$CI$10:$CX$138,CONSULTA!A78+3),"")</f>
        <v/>
      </c>
      <c r="E78" s="50" t="str">
        <f>IF($C$8=4,HLOOKUP($E$9,TÁBUAS!$CY$10:$DD$138,CONSULTA!A78+3),"")</f>
        <v/>
      </c>
      <c r="N78" s="80" t="s">
        <v>134</v>
      </c>
    </row>
    <row r="79" spans="1:14" ht="15.75">
      <c r="A79" s="67">
        <v>68</v>
      </c>
      <c r="B79" s="50" cm="1">
        <f t="array" ref="B79">IF($C$8=1,HLOOKUP($B$9,TÁBUAS!$B$10:$BU$138,_xlfn.SINGLE(CONSULTA!A79)+3,0),"")</f>
        <v>1.18386959E-2</v>
      </c>
      <c r="C79" s="50" t="str">
        <f>IF($C$8=2,HLOOKUP($C$9,TÁBUAS!$BV$10:$CH$138,CONSULTA!A79+3),"")</f>
        <v/>
      </c>
      <c r="D79" s="50" t="str">
        <f>IF($C$8=3,HLOOKUP($D$9,TÁBUAS!$CI$10:$CX$138,CONSULTA!A79+3),"")</f>
        <v/>
      </c>
      <c r="E79" s="50" t="str">
        <f>IF($C$8=4,HLOOKUP($E$9,TÁBUAS!$CY$10:$DD$138,CONSULTA!A79+3),"")</f>
        <v/>
      </c>
      <c r="N79" s="82" t="s">
        <v>135</v>
      </c>
    </row>
    <row r="80" spans="1:14" ht="15.75">
      <c r="A80" s="67">
        <v>69</v>
      </c>
      <c r="B80" s="50" cm="1">
        <f t="array" ref="B80">IF($C$8=1,HLOOKUP($B$9,TÁBUAS!$B$10:$BU$138,_xlfn.SINGLE(CONSULTA!A80)+3,0),"")</f>
        <v>1.29839252E-2</v>
      </c>
      <c r="C80" s="50" t="str">
        <f>IF($C$8=2,HLOOKUP($C$9,TÁBUAS!$BV$10:$CH$138,CONSULTA!A80+3),"")</f>
        <v/>
      </c>
      <c r="D80" s="50" t="str">
        <f>IF($C$8=3,HLOOKUP($D$9,TÁBUAS!$CI$10:$CX$138,CONSULTA!A80+3),"")</f>
        <v/>
      </c>
      <c r="E80" s="50" t="str">
        <f>IF($C$8=4,HLOOKUP($E$9,TÁBUAS!$CY$10:$DD$138,CONSULTA!A80+3),"")</f>
        <v/>
      </c>
      <c r="N80" s="80" t="s">
        <v>214</v>
      </c>
    </row>
    <row r="81" spans="1:14" ht="15.75">
      <c r="A81" s="67">
        <v>70</v>
      </c>
      <c r="B81" s="50" cm="1">
        <f t="array" ref="B81">IF($C$8=1,HLOOKUP($B$9,TÁBUAS!$B$10:$BU$138,_xlfn.SINGLE(CONSULTA!A81)+3,0),"")</f>
        <v>1.4241228599999999E-2</v>
      </c>
      <c r="C81" s="50" t="str">
        <f>IF($C$8=2,HLOOKUP($C$9,TÁBUAS!$BV$10:$CH$138,CONSULTA!A81+3),"")</f>
        <v/>
      </c>
      <c r="D81" s="50" t="str">
        <f>IF($C$8=3,HLOOKUP($D$9,TÁBUAS!$CI$10:$CX$138,CONSULTA!A81+3),"")</f>
        <v/>
      </c>
      <c r="E81" s="50" t="str">
        <f>IF($C$8=4,HLOOKUP($E$9,TÁBUAS!$CY$10:$DD$138,CONSULTA!A81+3),"")</f>
        <v/>
      </c>
      <c r="N81" s="80" t="s">
        <v>212</v>
      </c>
    </row>
    <row r="82" spans="1:14" ht="15.75">
      <c r="A82" s="67">
        <v>71</v>
      </c>
      <c r="B82" s="50" cm="1">
        <f t="array" ref="B82">IF($C$8=1,HLOOKUP($B$9,TÁBUAS!$B$10:$BU$138,_xlfn.SINGLE(CONSULTA!A82)+3,0),"")</f>
        <v>1.56207259E-2</v>
      </c>
      <c r="C82" s="50" t="str">
        <f>IF($C$8=2,HLOOKUP($C$9,TÁBUAS!$BV$10:$CH$138,CONSULTA!A82+3),"")</f>
        <v/>
      </c>
      <c r="D82" s="50" t="str">
        <f>IF($C$8=3,HLOOKUP($D$9,TÁBUAS!$CI$10:$CX$138,CONSULTA!A82+3),"")</f>
        <v/>
      </c>
      <c r="E82" s="50" t="str">
        <f>IF($C$8=4,HLOOKUP($E$9,TÁBUAS!$CY$10:$DD$138,CONSULTA!A82+3),"")</f>
        <v/>
      </c>
      <c r="N82" s="80" t="s">
        <v>211</v>
      </c>
    </row>
    <row r="83" spans="1:14" ht="15.75">
      <c r="A83" s="67">
        <v>72</v>
      </c>
      <c r="B83" s="50" cm="1">
        <f t="array" ref="B83">IF($C$8=1,HLOOKUP($B$9,TÁBUAS!$B$10:$BU$138,_xlfn.SINGLE(CONSULTA!A83)+3,0),"")</f>
        <v>1.7134967500000001E-2</v>
      </c>
      <c r="C83" s="50" t="str">
        <f>IF($C$8=2,HLOOKUP($C$9,TÁBUAS!$BV$10:$CH$138,CONSULTA!A83+3),"")</f>
        <v/>
      </c>
      <c r="D83" s="50" t="str">
        <f>IF($C$8=3,HLOOKUP($D$9,TÁBUAS!$CI$10:$CX$138,CONSULTA!A83+3),"")</f>
        <v/>
      </c>
      <c r="E83" s="50" t="str">
        <f>IF($C$8=4,HLOOKUP($E$9,TÁBUAS!$CY$10:$DD$138,CONSULTA!A83+3),"")</f>
        <v/>
      </c>
      <c r="N83" s="80" t="s">
        <v>143</v>
      </c>
    </row>
    <row r="84" spans="1:14" ht="15.75">
      <c r="A84" s="67">
        <v>73</v>
      </c>
      <c r="B84" s="50" cm="1">
        <f t="array" ref="B84">IF($C$8=1,HLOOKUP($B$9,TÁBUAS!$B$10:$BU$138,_xlfn.SINGLE(CONSULTA!A84)+3,0),"")</f>
        <v>1.8798279300000002E-2</v>
      </c>
      <c r="C84" s="50" t="str">
        <f>IF($C$8=2,HLOOKUP($C$9,TÁBUAS!$BV$10:$CH$138,CONSULTA!A84+3),"")</f>
        <v/>
      </c>
      <c r="D84" s="50" t="str">
        <f>IF($C$8=3,HLOOKUP($D$9,TÁBUAS!$CI$10:$CX$138,CONSULTA!A84+3),"")</f>
        <v/>
      </c>
      <c r="E84" s="50" t="str">
        <f>IF($C$8=4,HLOOKUP($E$9,TÁBUAS!$CY$10:$DD$138,CONSULTA!A84+3),"")</f>
        <v/>
      </c>
      <c r="N84" s="80" t="s">
        <v>150</v>
      </c>
    </row>
    <row r="85" spans="1:14" ht="15.75">
      <c r="A85" s="67">
        <v>74</v>
      </c>
      <c r="B85" s="50" cm="1">
        <f t="array" ref="B85">IF($C$8=1,HLOOKUP($B$9,TÁBUAS!$B$10:$BU$138,_xlfn.SINGLE(CONSULTA!A85)+3,0),"")</f>
        <v>2.06242479E-2</v>
      </c>
      <c r="C85" s="50" t="str">
        <f>IF($C$8=2,HLOOKUP($C$9,TÁBUAS!$BV$10:$CH$138,CONSULTA!A85+3),"")</f>
        <v/>
      </c>
      <c r="D85" s="50" t="str">
        <f>IF($C$8=3,HLOOKUP($D$9,TÁBUAS!$CI$10:$CX$138,CONSULTA!A85+3),"")</f>
        <v/>
      </c>
      <c r="E85" s="50" t="str">
        <f>IF($C$8=4,HLOOKUP($E$9,TÁBUAS!$CY$10:$DD$138,CONSULTA!A85+3),"")</f>
        <v/>
      </c>
      <c r="N85" s="80"/>
    </row>
    <row r="86" spans="1:14" ht="15.75">
      <c r="A86" s="67">
        <v>75</v>
      </c>
      <c r="B86" s="50" cm="1">
        <f t="array" ref="B86">IF($C$8=1,HLOOKUP($B$9,TÁBUAS!$B$10:$BU$138,_xlfn.SINGLE(CONSULTA!A86)+3,0),"")</f>
        <v>2.26288264E-2</v>
      </c>
      <c r="C86" s="50" t="str">
        <f>IF($C$8=2,HLOOKUP($C$9,TÁBUAS!$BV$10:$CH$138,CONSULTA!A86+3),"")</f>
        <v/>
      </c>
      <c r="D86" s="50" t="str">
        <f>IF($C$8=3,HLOOKUP($D$9,TÁBUAS!$CI$10:$CX$138,CONSULTA!A86+3),"")</f>
        <v/>
      </c>
      <c r="E86" s="50" t="str">
        <f>IF($C$8=4,HLOOKUP($E$9,TÁBUAS!$CY$10:$DD$138,CONSULTA!A86+3),"")</f>
        <v/>
      </c>
      <c r="N86" s="82"/>
    </row>
    <row r="87" spans="1:14" ht="15.75">
      <c r="A87" s="67">
        <v>76</v>
      </c>
      <c r="B87" s="50" cm="1">
        <f t="array" ref="B87">IF($C$8=1,HLOOKUP($B$9,TÁBUAS!$B$10:$BU$138,_xlfn.SINGLE(CONSULTA!A87)+3,0),"")</f>
        <v>2.4831414199999999E-2</v>
      </c>
      <c r="C87" s="50" t="str">
        <f>IF($C$8=2,HLOOKUP($C$9,TÁBUAS!$BV$10:$CH$138,CONSULTA!A87+3),"")</f>
        <v/>
      </c>
      <c r="D87" s="50" t="str">
        <f>IF($C$8=3,HLOOKUP($D$9,TÁBUAS!$CI$10:$CX$138,CONSULTA!A87+3),"")</f>
        <v/>
      </c>
      <c r="E87" s="50" t="str">
        <f>IF($C$8=4,HLOOKUP($E$9,TÁBUAS!$CY$10:$DD$138,CONSULTA!A87+3),"")</f>
        <v/>
      </c>
      <c r="N87" s="82"/>
    </row>
    <row r="88" spans="1:14" ht="15.75">
      <c r="A88" s="67">
        <v>77</v>
      </c>
      <c r="B88" s="50" cm="1">
        <f t="array" ref="B88">IF($C$8=1,HLOOKUP($B$9,TÁBUAS!$B$10:$BU$138,_xlfn.SINGLE(CONSULTA!A88)+3,0),"")</f>
        <v>2.7249538800000001E-2</v>
      </c>
      <c r="C88" s="50" t="str">
        <f>IF($C$8=2,HLOOKUP($C$9,TÁBUAS!$BV$10:$CH$138,CONSULTA!A88+3),"")</f>
        <v/>
      </c>
      <c r="D88" s="50" t="str">
        <f>IF($C$8=3,HLOOKUP($D$9,TÁBUAS!$CI$10:$CX$138,CONSULTA!A88+3),"")</f>
        <v/>
      </c>
      <c r="E88" s="50" t="str">
        <f>IF($C$8=4,HLOOKUP($E$9,TÁBUAS!$CY$10:$DD$138,CONSULTA!A88+3),"")</f>
        <v/>
      </c>
      <c r="N88" s="82"/>
    </row>
    <row r="89" spans="1:14" ht="15.75">
      <c r="A89" s="67">
        <v>78</v>
      </c>
      <c r="B89" s="50" cm="1">
        <f t="array" ref="B89">IF($C$8=1,HLOOKUP($B$9,TÁBUAS!$B$10:$BU$138,_xlfn.SINGLE(CONSULTA!A89)+3,0),"")</f>
        <v>2.9905155499999999E-2</v>
      </c>
      <c r="C89" s="50" t="str">
        <f>IF($C$8=2,HLOOKUP($C$9,TÁBUAS!$BV$10:$CH$138,CONSULTA!A89+3),"")</f>
        <v/>
      </c>
      <c r="D89" s="50" t="str">
        <f>IF($C$8=3,HLOOKUP($D$9,TÁBUAS!$CI$10:$CX$138,CONSULTA!A89+3),"")</f>
        <v/>
      </c>
      <c r="E89" s="50" t="str">
        <f>IF($C$8=4,HLOOKUP($E$9,TÁBUAS!$CY$10:$DD$138,CONSULTA!A89+3),"")</f>
        <v/>
      </c>
      <c r="N89" s="82"/>
    </row>
    <row r="90" spans="1:14" ht="15.75">
      <c r="A90" s="67">
        <v>79</v>
      </c>
      <c r="B90" s="50" cm="1">
        <f t="array" ref="B90">IF($C$8=1,HLOOKUP($B$9,TÁBUAS!$B$10:$BU$138,_xlfn.SINGLE(CONSULTA!A90)+3,0),"")</f>
        <v>3.2823987200000002E-2</v>
      </c>
      <c r="C90" s="50" t="str">
        <f>IF($C$8=2,HLOOKUP($C$9,TÁBUAS!$BV$10:$CH$138,CONSULTA!A90+3),"")</f>
        <v/>
      </c>
      <c r="D90" s="50" t="str">
        <f>IF($C$8=3,HLOOKUP($D$9,TÁBUAS!$CI$10:$CX$138,CONSULTA!A90+3),"")</f>
        <v/>
      </c>
      <c r="E90" s="50" t="str">
        <f>IF($C$8=4,HLOOKUP($E$9,TÁBUAS!$CY$10:$DD$138,CONSULTA!A90+3),"")</f>
        <v/>
      </c>
      <c r="N90" s="82"/>
    </row>
    <row r="91" spans="1:14" ht="15.75">
      <c r="A91" s="67">
        <v>80</v>
      </c>
      <c r="B91" s="50" cm="1">
        <f t="array" ref="B91">IF($C$8=1,HLOOKUP($B$9,TÁBUAS!$B$10:$BU$138,_xlfn.SINGLE(CONSULTA!A91)+3,0),"")</f>
        <v>3.6031467300000002E-2</v>
      </c>
      <c r="C91" s="50" t="str">
        <f>IF($C$8=2,HLOOKUP($C$9,TÁBUAS!$BV$10:$CH$138,CONSULTA!A91+3),"")</f>
        <v/>
      </c>
      <c r="D91" s="50" t="str">
        <f>IF($C$8=3,HLOOKUP($D$9,TÁBUAS!$CI$10:$CX$138,CONSULTA!A91+3),"")</f>
        <v/>
      </c>
      <c r="E91" s="50" t="str">
        <f>IF($C$8=4,HLOOKUP($E$9,TÁBUAS!$CY$10:$DD$138,CONSULTA!A91+3),"")</f>
        <v/>
      </c>
      <c r="N91" s="80"/>
    </row>
    <row r="92" spans="1:14" ht="15.75">
      <c r="A92" s="67">
        <v>81</v>
      </c>
      <c r="B92" s="50" cm="1">
        <f t="array" ref="B92">IF($C$8=1,HLOOKUP($B$9,TÁBUAS!$B$10:$BU$138,_xlfn.SINGLE(CONSULTA!A92)+3,0),"")</f>
        <v>3.9555013100000001E-2</v>
      </c>
      <c r="C92" s="50" t="str">
        <f>IF($C$8=2,HLOOKUP($C$9,TÁBUAS!$BV$10:$CH$138,CONSULTA!A92+3),"")</f>
        <v/>
      </c>
      <c r="D92" s="50" t="str">
        <f>IF($C$8=3,HLOOKUP($D$9,TÁBUAS!$CI$10:$CX$138,CONSULTA!A92+3),"")</f>
        <v/>
      </c>
      <c r="E92" s="50" t="str">
        <f>IF($C$8=4,HLOOKUP($E$9,TÁBUAS!$CY$10:$DD$138,CONSULTA!A92+3),"")</f>
        <v/>
      </c>
      <c r="N92" s="80"/>
    </row>
    <row r="93" spans="1:14" ht="15.75">
      <c r="A93" s="67">
        <v>82</v>
      </c>
      <c r="B93" s="50" cm="1">
        <f t="array" ref="B93">IF($C$8=1,HLOOKUP($B$9,TÁBUAS!$B$10:$BU$138,_xlfn.SINGLE(CONSULTA!A93)+3,0),"")</f>
        <v>4.3428125400000003E-2</v>
      </c>
      <c r="C93" s="50" t="str">
        <f>IF($C$8=2,HLOOKUP($C$9,TÁBUAS!$BV$10:$CH$138,CONSULTA!A93+3),"")</f>
        <v/>
      </c>
      <c r="D93" s="50" t="str">
        <f>IF($C$8=3,HLOOKUP($D$9,TÁBUAS!$CI$10:$CX$138,CONSULTA!A93+3),"")</f>
        <v/>
      </c>
      <c r="E93" s="50" t="str">
        <f>IF($C$8=4,HLOOKUP($E$9,TÁBUAS!$CY$10:$DD$138,CONSULTA!A93+3),"")</f>
        <v/>
      </c>
      <c r="N93" s="80"/>
    </row>
    <row r="94" spans="1:14" ht="15.75">
      <c r="A94" s="67">
        <v>83</v>
      </c>
      <c r="B94" s="50" cm="1">
        <f t="array" ref="B94">IF($C$8=1,HLOOKUP($B$9,TÁBUAS!$B$10:$BU$138,_xlfn.SINGLE(CONSULTA!A94)+3,0),"")</f>
        <v>4.76853125E-2</v>
      </c>
      <c r="C94" s="50" t="str">
        <f>IF($C$8=2,HLOOKUP($C$9,TÁBUAS!$BV$10:$CH$138,CONSULTA!A94+3),"")</f>
        <v/>
      </c>
      <c r="D94" s="50" t="str">
        <f>IF($C$8=3,HLOOKUP($D$9,TÁBUAS!$CI$10:$CX$138,CONSULTA!A94+3),"")</f>
        <v/>
      </c>
      <c r="E94" s="50" t="str">
        <f>IF($C$8=4,HLOOKUP($E$9,TÁBUAS!$CY$10:$DD$138,CONSULTA!A94+3),"")</f>
        <v/>
      </c>
      <c r="N94" s="80"/>
    </row>
    <row r="95" spans="1:14" ht="15.75">
      <c r="A95" s="67">
        <v>84</v>
      </c>
      <c r="B95" s="50" cm="1">
        <f t="array" ref="B95">IF($C$8=1,HLOOKUP($B$9,TÁBUAS!$B$10:$BU$138,_xlfn.SINGLE(CONSULTA!A95)+3,0),"")</f>
        <v>5.23680636E-2</v>
      </c>
      <c r="C95" s="50" t="str">
        <f>IF($C$8=2,HLOOKUP($C$9,TÁBUAS!$BV$10:$CH$138,CONSULTA!A95+3),"")</f>
        <v/>
      </c>
      <c r="D95" s="50" t="str">
        <f>IF($C$8=3,HLOOKUP($D$9,TÁBUAS!$CI$10:$CX$138,CONSULTA!A95+3),"")</f>
        <v/>
      </c>
      <c r="E95" s="50" t="str">
        <f>IF($C$8=4,HLOOKUP($E$9,TÁBUAS!$CY$10:$DD$138,CONSULTA!A95+3),"")</f>
        <v/>
      </c>
      <c r="N95" s="80"/>
    </row>
    <row r="96" spans="1:14" ht="15.75">
      <c r="A96" s="67">
        <v>85</v>
      </c>
      <c r="B96" s="50" cm="1">
        <f t="array" ref="B96">IF($C$8=1,HLOOKUP($B$9,TÁBUAS!$B$10:$BU$138,_xlfn.SINGLE(CONSULTA!A96)+3,0),"")</f>
        <v>5.7514919900000003E-2</v>
      </c>
      <c r="C96" s="50" t="str">
        <f>IF($C$8=2,HLOOKUP($C$9,TÁBUAS!$BV$10:$CH$138,CONSULTA!A96+3),"")</f>
        <v/>
      </c>
      <c r="D96" s="50" t="str">
        <f>IF($C$8=3,HLOOKUP($D$9,TÁBUAS!$CI$10:$CX$138,CONSULTA!A96+3),"")</f>
        <v/>
      </c>
      <c r="E96" s="50" t="str">
        <f>IF($C$8=4,HLOOKUP($E$9,TÁBUAS!$CY$10:$DD$138,CONSULTA!A96+3),"")</f>
        <v/>
      </c>
      <c r="N96" s="82"/>
    </row>
    <row r="97" spans="1:5" ht="15.75">
      <c r="A97" s="67">
        <v>86</v>
      </c>
      <c r="B97" s="50" cm="1">
        <f t="array" ref="B97">IF($C$8=1,HLOOKUP($B$9,TÁBUAS!$B$10:$BU$138,_xlfn.SINGLE(CONSULTA!A97)+3,0),"")</f>
        <v>6.3181791000000001E-2</v>
      </c>
      <c r="C97" s="50" t="str">
        <f>IF($C$8=2,HLOOKUP($C$9,TÁBUAS!$BV$10:$CH$138,CONSULTA!A97+3),"")</f>
        <v/>
      </c>
      <c r="D97" s="50" t="str">
        <f>IF($C$8=3,HLOOKUP($D$9,TÁBUAS!$CI$10:$CX$138,CONSULTA!A97+3),"")</f>
        <v/>
      </c>
      <c r="E97" s="50" t="str">
        <f>IF($C$8=4,HLOOKUP($E$9,TÁBUAS!$CY$10:$DD$138,CONSULTA!A97+3),"")</f>
        <v/>
      </c>
    </row>
    <row r="98" spans="1:5" ht="15.75">
      <c r="A98" s="67">
        <v>87</v>
      </c>
      <c r="B98" s="50" cm="1">
        <f t="array" ref="B98">IF($C$8=1,HLOOKUP($B$9,TÁBUAS!$B$10:$BU$138,_xlfn.SINGLE(CONSULTA!A98)+3,0),"")</f>
        <v>6.9415458099999994E-2</v>
      </c>
      <c r="C98" s="50" t="str">
        <f>IF($C$8=2,HLOOKUP($C$9,TÁBUAS!$BV$10:$CH$138,CONSULTA!A98+3),"")</f>
        <v/>
      </c>
      <c r="D98" s="50" t="str">
        <f>IF($C$8=3,HLOOKUP($D$9,TÁBUAS!$CI$10:$CX$138,CONSULTA!A98+3),"")</f>
        <v/>
      </c>
      <c r="E98" s="50" t="str">
        <f>IF($C$8=4,HLOOKUP($E$9,TÁBUAS!$CY$10:$DD$138,CONSULTA!A98+3),"")</f>
        <v/>
      </c>
    </row>
    <row r="99" spans="1:5" ht="15.75">
      <c r="A99" s="67">
        <v>88</v>
      </c>
      <c r="B99" s="50" cm="1">
        <f t="array" ref="B99">IF($C$8=1,HLOOKUP($B$9,TÁBUAS!$B$10:$BU$138,_xlfn.SINGLE(CONSULTA!A99)+3,0),"")</f>
        <v>7.62773546E-2</v>
      </c>
      <c r="C99" s="50" t="str">
        <f>IF($C$8=2,HLOOKUP($C$9,TÁBUAS!$BV$10:$CH$138,CONSULTA!A99+3),"")</f>
        <v/>
      </c>
      <c r="D99" s="50" t="str">
        <f>IF($C$8=3,HLOOKUP($D$9,TÁBUAS!$CI$10:$CX$138,CONSULTA!A99+3),"")</f>
        <v/>
      </c>
      <c r="E99" s="50" t="str">
        <f>IF($C$8=4,HLOOKUP($E$9,TÁBUAS!$CY$10:$DD$138,CONSULTA!A99+3),"")</f>
        <v/>
      </c>
    </row>
    <row r="100" spans="1:5" ht="15.75">
      <c r="A100" s="67">
        <v>89</v>
      </c>
      <c r="B100" s="50" cm="1">
        <f t="array" ref="B100">IF($C$8=1,HLOOKUP($B$9,TÁBUAS!$B$10:$BU$138,_xlfn.SINGLE(CONSULTA!A100)+3,0),"")</f>
        <v>8.3836707900000002E-2</v>
      </c>
      <c r="C100" s="50" t="str">
        <f>IF($C$8=2,HLOOKUP($C$9,TÁBUAS!$BV$10:$CH$138,CONSULTA!A100+3),"")</f>
        <v/>
      </c>
      <c r="D100" s="50" t="str">
        <f>IF($C$8=3,HLOOKUP($D$9,TÁBUAS!$CI$10:$CX$138,CONSULTA!A100+3),"")</f>
        <v/>
      </c>
      <c r="E100" s="50" t="str">
        <f>IF($C$8=4,HLOOKUP($E$9,TÁBUAS!$CY$10:$DD$138,CONSULTA!A100+3),"")</f>
        <v/>
      </c>
    </row>
    <row r="101" spans="1:5" ht="15.75">
      <c r="A101" s="67">
        <v>90</v>
      </c>
      <c r="B101" s="50" cm="1">
        <f t="array" ref="B101">IF($C$8=1,HLOOKUP($B$9,TÁBUAS!$B$10:$BU$138,_xlfn.SINGLE(CONSULTA!A101)+3,0),"")</f>
        <v>9.2162048100000005E-2</v>
      </c>
      <c r="C101" s="50" t="str">
        <f>IF($C$8=2,HLOOKUP($C$9,TÁBUAS!$BV$10:$CH$138,CONSULTA!A101+3),"")</f>
        <v/>
      </c>
      <c r="D101" s="50" t="str">
        <f>IF($C$8=3,HLOOKUP($D$9,TÁBUAS!$CI$10:$CX$138,CONSULTA!A101+3),"")</f>
        <v/>
      </c>
      <c r="E101" s="50" t="str">
        <f>IF($C$8=4,HLOOKUP($E$9,TÁBUAS!$CY$10:$DD$138,CONSULTA!A101+3),"")</f>
        <v/>
      </c>
    </row>
    <row r="102" spans="1:5" ht="15.75">
      <c r="A102" s="67">
        <v>91</v>
      </c>
      <c r="B102" s="50" cm="1">
        <f t="array" ref="B102">IF($C$8=1,HLOOKUP($B$9,TÁBUAS!$B$10:$BU$138,_xlfn.SINGLE(CONSULTA!A102)+3,0),"")</f>
        <v>0.10133327659999999</v>
      </c>
      <c r="C102" s="50" t="str">
        <f>IF($C$8=2,HLOOKUP($C$9,TÁBUAS!$BV$10:$CH$138,CONSULTA!A102+3),"")</f>
        <v/>
      </c>
      <c r="D102" s="50" t="str">
        <f>IF($C$8=3,HLOOKUP($D$9,TÁBUAS!$CI$10:$CX$138,CONSULTA!A102+3),"")</f>
        <v/>
      </c>
      <c r="E102" s="50" t="str">
        <f>IF($C$8=4,HLOOKUP($E$9,TÁBUAS!$CY$10:$DD$138,CONSULTA!A102+3),"")</f>
        <v/>
      </c>
    </row>
    <row r="103" spans="1:5" ht="15.75">
      <c r="A103" s="67">
        <v>92</v>
      </c>
      <c r="B103" s="50" cm="1">
        <f t="array" ref="B103">IF($C$8=1,HLOOKUP($B$9,TÁBUAS!$B$10:$BU$138,_xlfn.SINGLE(CONSULTA!A103)+3,0),"")</f>
        <v>0.1114511145</v>
      </c>
      <c r="C103" s="50" t="str">
        <f>IF($C$8=2,HLOOKUP($C$9,TÁBUAS!$BV$10:$CH$138,CONSULTA!A103+3),"")</f>
        <v/>
      </c>
      <c r="D103" s="50" t="str">
        <f>IF($C$8=3,HLOOKUP($D$9,TÁBUAS!$CI$10:$CX$138,CONSULTA!A103+3),"")</f>
        <v/>
      </c>
      <c r="E103" s="50" t="str">
        <f>IF($C$8=4,HLOOKUP($E$9,TÁBUAS!$CY$10:$DD$138,CONSULTA!A103+3),"")</f>
        <v/>
      </c>
    </row>
    <row r="104" spans="1:5" ht="15.75">
      <c r="A104" s="67">
        <v>93</v>
      </c>
      <c r="B104" s="50" cm="1">
        <f t="array" ref="B104">IF($C$8=1,HLOOKUP($B$9,TÁBUAS!$B$10:$BU$138,_xlfn.SINGLE(CONSULTA!A104)+3,0),"")</f>
        <v>0.122605117</v>
      </c>
      <c r="C104" s="50" t="str">
        <f>IF($C$8=2,HLOOKUP($C$9,TÁBUAS!$BV$10:$CH$138,CONSULTA!A104+3),"")</f>
        <v/>
      </c>
      <c r="D104" s="50" t="str">
        <f>IF($C$8=3,HLOOKUP($D$9,TÁBUAS!$CI$10:$CX$138,CONSULTA!A104+3),"")</f>
        <v/>
      </c>
      <c r="E104" s="50" t="str">
        <f>IF($C$8=4,HLOOKUP($E$9,TÁBUAS!$CY$10:$DD$138,CONSULTA!A104+3),"")</f>
        <v/>
      </c>
    </row>
    <row r="105" spans="1:5" ht="15.75">
      <c r="A105" s="67">
        <v>94</v>
      </c>
      <c r="B105" s="50" cm="1">
        <f t="array" ref="B105">IF($C$8=1,HLOOKUP($B$9,TÁBUAS!$B$10:$BU$138,_xlfn.SINGLE(CONSULTA!A105)+3,0),"")</f>
        <v>0.13491300310000001</v>
      </c>
      <c r="C105" s="50" t="str">
        <f>IF($C$8=2,HLOOKUP($C$9,TÁBUAS!$BV$10:$CH$138,CONSULTA!A105+3),"")</f>
        <v/>
      </c>
      <c r="D105" s="50" t="str">
        <f>IF($C$8=3,HLOOKUP($D$9,TÁBUAS!$CI$10:$CX$138,CONSULTA!A105+3),"")</f>
        <v/>
      </c>
      <c r="E105" s="50" t="str">
        <f>IF($C$8=4,HLOOKUP($E$9,TÁBUAS!$CY$10:$DD$138,CONSULTA!A105+3),"")</f>
        <v/>
      </c>
    </row>
    <row r="106" spans="1:5" ht="15.75">
      <c r="A106" s="67">
        <v>95</v>
      </c>
      <c r="B106" s="50" cm="1">
        <f t="array" ref="B106">IF($C$8=1,HLOOKUP($B$9,TÁBUAS!$B$10:$BU$138,_xlfn.SINGLE(CONSULTA!A106)+3,0),"")</f>
        <v>0.14850205650000001</v>
      </c>
      <c r="C106" s="50" t="str">
        <f>IF($C$8=2,HLOOKUP($C$9,TÁBUAS!$BV$10:$CH$138,CONSULTA!A106+3),"")</f>
        <v/>
      </c>
      <c r="D106" s="50" t="str">
        <f>IF($C$8=3,HLOOKUP($D$9,TÁBUAS!$CI$10:$CX$138,CONSULTA!A106+3),"")</f>
        <v/>
      </c>
      <c r="E106" s="50" t="str">
        <f>IF($C$8=4,HLOOKUP($E$9,TÁBUAS!$CY$10:$DD$138,CONSULTA!A106+3),"")</f>
        <v/>
      </c>
    </row>
    <row r="107" spans="1:5" ht="15.75">
      <c r="A107" s="67">
        <v>96</v>
      </c>
      <c r="B107" s="50" cm="1">
        <f t="array" ref="B107">IF($C$8=1,HLOOKUP($B$9,TÁBUAS!$B$10:$BU$138,_xlfn.SINGLE(CONSULTA!A107)+3,0),"")</f>
        <v>0.16350397629999999</v>
      </c>
      <c r="C107" s="50" t="str">
        <f>IF($C$8=2,HLOOKUP($C$9,TÁBUAS!$BV$10:$CH$138,CONSULTA!A107+3),"")</f>
        <v/>
      </c>
      <c r="D107" s="50" t="str">
        <f>IF($C$8=3,HLOOKUP($D$9,TÁBUAS!$CI$10:$CX$138,CONSULTA!A107+3),"")</f>
        <v/>
      </c>
      <c r="E107" s="50" t="str">
        <f>IF($C$8=4,HLOOKUP($E$9,TÁBUAS!$CY$10:$DD$138,CONSULTA!A107+3),"")</f>
        <v/>
      </c>
    </row>
    <row r="108" spans="1:5" ht="15.75">
      <c r="A108" s="67">
        <v>97</v>
      </c>
      <c r="B108" s="50" cm="1">
        <f t="array" ref="B108">IF($C$8=1,HLOOKUP($B$9,TÁBUAS!$B$10:$BU$138,_xlfn.SINGLE(CONSULTA!A108)+3,0),"")</f>
        <v>0.1800885327</v>
      </c>
      <c r="C108" s="50" t="str">
        <f>IF($C$8=2,HLOOKUP($C$9,TÁBUAS!$BV$10:$CH$138,CONSULTA!A108+3),"")</f>
        <v/>
      </c>
      <c r="D108" s="50" t="str">
        <f>IF($C$8=3,HLOOKUP($D$9,TÁBUAS!$CI$10:$CX$138,CONSULTA!A108+3),"")</f>
        <v/>
      </c>
      <c r="E108" s="50" t="str">
        <f>IF($C$8=4,HLOOKUP($E$9,TÁBUAS!$CY$10:$DD$138,CONSULTA!A108+3),"")</f>
        <v/>
      </c>
    </row>
    <row r="109" spans="1:5" ht="15.75">
      <c r="A109" s="67">
        <v>98</v>
      </c>
      <c r="B109" s="50" cm="1">
        <f t="array" ref="B109">IF($C$8=1,HLOOKUP($B$9,TÁBUAS!$B$10:$BU$138,_xlfn.SINGLE(CONSULTA!A109)+3,0),"")</f>
        <v>0.19842335890000001</v>
      </c>
      <c r="C109" s="50" t="str">
        <f>IF($C$8=2,HLOOKUP($C$9,TÁBUAS!$BV$10:$CH$138,CONSULTA!A109+3),"")</f>
        <v/>
      </c>
      <c r="D109" s="50" t="str">
        <f>IF($C$8=3,HLOOKUP($D$9,TÁBUAS!$CI$10:$CX$138,CONSULTA!A109+3),"")</f>
        <v/>
      </c>
      <c r="E109" s="50" t="str">
        <f>IF($C$8=4,HLOOKUP($E$9,TÁBUAS!$CY$10:$DD$138,CONSULTA!A109+3),"")</f>
        <v/>
      </c>
    </row>
    <row r="110" spans="1:5" ht="15.75">
      <c r="A110" s="67">
        <v>99</v>
      </c>
      <c r="B110" s="50" cm="1">
        <f t="array" ref="B110">IF($C$8=1,HLOOKUP($B$9,TÁBUAS!$B$10:$BU$138,_xlfn.SINGLE(CONSULTA!A110)+3,0),"")</f>
        <v>0.2187140517</v>
      </c>
      <c r="C110" s="50" t="str">
        <f>IF($C$8=2,HLOOKUP($C$9,TÁBUAS!$BV$10:$CH$138,CONSULTA!A110+3),"")</f>
        <v/>
      </c>
      <c r="D110" s="50" t="str">
        <f>IF($C$8=3,HLOOKUP($D$9,TÁBUAS!$CI$10:$CX$138,CONSULTA!A110+3),"")</f>
        <v/>
      </c>
      <c r="E110" s="50" t="str">
        <f>IF($C$8=4,HLOOKUP($E$9,TÁBUAS!$CY$10:$DD$138,CONSULTA!A110+3),"")</f>
        <v/>
      </c>
    </row>
    <row r="111" spans="1:5" ht="15.75">
      <c r="A111" s="67">
        <v>100</v>
      </c>
      <c r="B111" s="50" cm="1">
        <f t="array" ref="B111">IF($C$8=1,HLOOKUP($B$9,TÁBUAS!$B$10:$BU$138,_xlfn.SINGLE(CONSULTA!A111)+3,0),"")</f>
        <v>0.24118319120000001</v>
      </c>
      <c r="C111" s="50" t="str">
        <f>IF($C$8=2,HLOOKUP($C$9,TÁBUAS!$BV$10:$CH$138,CONSULTA!A111+3),"")</f>
        <v/>
      </c>
      <c r="D111" s="50" t="str">
        <f>IF($C$8=3,HLOOKUP($D$9,TÁBUAS!$CI$10:$CX$138,CONSULTA!A111+3),"")</f>
        <v/>
      </c>
      <c r="E111" s="50" t="str">
        <f>IF($C$8=4,HLOOKUP($E$9,TÁBUAS!$CY$10:$DD$138,CONSULTA!A111+3),"")</f>
        <v/>
      </c>
    </row>
    <row r="112" spans="1:5" ht="15.75">
      <c r="A112" s="67">
        <v>101</v>
      </c>
      <c r="B112" s="50" cm="1">
        <f t="array" ref="B112">IF($C$8=1,HLOOKUP($B$9,TÁBUAS!$B$10:$BU$138,_xlfn.SINGLE(CONSULTA!A112)+3,0),"")</f>
        <v>0.2660654905</v>
      </c>
      <c r="C112" s="50" t="str">
        <f>IF($C$8=2,HLOOKUP($C$9,TÁBUAS!$BV$10:$CH$138,CONSULTA!A112+3),"")</f>
        <v/>
      </c>
      <c r="D112" s="50" t="str">
        <f>IF($C$8=3,HLOOKUP($D$9,TÁBUAS!$CI$10:$CX$138,CONSULTA!A112+3),"")</f>
        <v/>
      </c>
      <c r="E112" s="50" t="str">
        <f>IF($C$8=4,HLOOKUP($E$9,TÁBUAS!$CY$10:$DD$138,CONSULTA!A112+3),"")</f>
        <v/>
      </c>
    </row>
    <row r="113" spans="1:5" ht="15.75">
      <c r="A113" s="67">
        <v>102</v>
      </c>
      <c r="B113" s="50" cm="1">
        <f t="array" ref="B113">IF($C$8=1,HLOOKUP($B$9,TÁBUAS!$B$10:$BU$138,_xlfn.SINGLE(CONSULTA!A113)+3,0),"")</f>
        <v>0.29363152149999999</v>
      </c>
      <c r="C113" s="50" t="str">
        <f>IF($C$8=2,HLOOKUP($C$9,TÁBUAS!$BV$10:$CH$138,CONSULTA!A113+3),"")</f>
        <v/>
      </c>
      <c r="D113" s="50" t="str">
        <f>IF($C$8=3,HLOOKUP($D$9,TÁBUAS!$CI$10:$CX$138,CONSULTA!A113+3),"")</f>
        <v/>
      </c>
      <c r="E113" s="50" t="str">
        <f>IF($C$8=4,HLOOKUP($E$9,TÁBUAS!$CY$10:$DD$138,CONSULTA!A113+3),"")</f>
        <v/>
      </c>
    </row>
    <row r="114" spans="1:5" ht="15.75">
      <c r="A114" s="67">
        <v>103</v>
      </c>
      <c r="B114" s="50" cm="1">
        <f t="array" ref="B114">IF($C$8=1,HLOOKUP($B$9,TÁBUAS!$B$10:$BU$138,_xlfn.SINGLE(CONSULTA!A114)+3,0),"")</f>
        <v>0.32416735549999998</v>
      </c>
      <c r="C114" s="50" t="str">
        <f>IF($C$8=2,HLOOKUP($C$9,TÁBUAS!$BV$10:$CH$138,CONSULTA!A114+3),"")</f>
        <v/>
      </c>
      <c r="D114" s="50" t="str">
        <f>IF($C$8=3,HLOOKUP($D$9,TÁBUAS!$CI$10:$CX$138,CONSULTA!A114+3),"")</f>
        <v/>
      </c>
      <c r="E114" s="50" t="str">
        <f>IF($C$8=4,HLOOKUP($E$9,TÁBUAS!$CY$10:$DD$138,CONSULTA!A114+3),"")</f>
        <v/>
      </c>
    </row>
    <row r="115" spans="1:5" ht="15.75">
      <c r="A115" s="67">
        <v>104</v>
      </c>
      <c r="B115" s="50" cm="1">
        <f t="array" ref="B115">IF($C$8=1,HLOOKUP($B$9,TÁBUAS!$B$10:$BU$138,_xlfn.SINGLE(CONSULTA!A115)+3,0),"")</f>
        <v>0.35797888020000002</v>
      </c>
      <c r="C115" s="50" t="str">
        <f>IF($C$8=2,HLOOKUP($C$9,TÁBUAS!$BV$10:$CH$138,CONSULTA!A115+3),"")</f>
        <v/>
      </c>
      <c r="D115" s="50" t="str">
        <f>IF($C$8=3,HLOOKUP($D$9,TÁBUAS!$CI$10:$CX$138,CONSULTA!A115+3),"")</f>
        <v/>
      </c>
      <c r="E115" s="50" t="str">
        <f>IF($C$8=4,HLOOKUP($E$9,TÁBUAS!$CY$10:$DD$138,CONSULTA!A115+3),"")</f>
        <v/>
      </c>
    </row>
    <row r="116" spans="1:5" ht="15.75">
      <c r="A116" s="67">
        <v>105</v>
      </c>
      <c r="B116" s="50" cm="1">
        <f t="array" ref="B116">IF($C$8=1,HLOOKUP($B$9,TÁBUAS!$B$10:$BU$138,_xlfn.SINGLE(CONSULTA!A116)+3,0),"")</f>
        <v>0.3954921207</v>
      </c>
      <c r="C116" s="50" t="str">
        <f>IF($C$8=2,HLOOKUP($C$9,TÁBUAS!$BV$10:$CH$138,CONSULTA!A116+3),"")</f>
        <v/>
      </c>
      <c r="D116" s="50" t="str">
        <f>IF($C$8=3,HLOOKUP($D$9,TÁBUAS!$CI$10:$CX$138,CONSULTA!A116+3),"")</f>
        <v/>
      </c>
      <c r="E116" s="50" t="str">
        <f>IF($C$8=4,HLOOKUP($E$9,TÁBUAS!$CY$10:$DD$138,CONSULTA!A116+3),"")</f>
        <v/>
      </c>
    </row>
    <row r="117" spans="1:5" ht="15.75">
      <c r="A117" s="67">
        <v>106</v>
      </c>
      <c r="B117" s="50" cm="1">
        <f t="array" ref="B117">IF($C$8=1,HLOOKUP($B$9,TÁBUAS!$B$10:$BU$138,_xlfn.SINGLE(CONSULTA!A117)+3,0),"")</f>
        <v>0.43697819030000001</v>
      </c>
      <c r="C117" s="50" t="str">
        <f>IF($C$8=2,HLOOKUP($C$9,TÁBUAS!$BV$10:$CH$138,CONSULTA!A117+3),"")</f>
        <v/>
      </c>
      <c r="D117" s="50" t="str">
        <f>IF($C$8=3,HLOOKUP($D$9,TÁBUAS!$CI$10:$CX$138,CONSULTA!A117+3),"")</f>
        <v/>
      </c>
      <c r="E117" s="50" t="str">
        <f>IF($C$8=4,HLOOKUP($E$9,TÁBUAS!$CY$10:$DD$138,CONSULTA!A117+3),"")</f>
        <v/>
      </c>
    </row>
    <row r="118" spans="1:5" ht="15.75">
      <c r="A118" s="67">
        <v>107</v>
      </c>
      <c r="B118" s="50" cm="1">
        <f t="array" ref="B118">IF($C$8=1,HLOOKUP($B$9,TÁBUAS!$B$10:$BU$138,_xlfn.SINGLE(CONSULTA!A118)+3,0),"")</f>
        <v>0.4828689008</v>
      </c>
      <c r="C118" s="50" t="str">
        <f>IF($C$8=2,HLOOKUP($C$9,TÁBUAS!$BV$10:$CH$138,CONSULTA!A118+3),"")</f>
        <v/>
      </c>
      <c r="D118" s="50" t="str">
        <f>IF($C$8=3,HLOOKUP($D$9,TÁBUAS!$CI$10:$CX$138,CONSULTA!A118+3),"")</f>
        <v/>
      </c>
      <c r="E118" s="50" t="str">
        <f>IF($C$8=4,HLOOKUP($E$9,TÁBUAS!$CY$10:$DD$138,CONSULTA!A118+3),"")</f>
        <v/>
      </c>
    </row>
    <row r="119" spans="1:5" ht="15.75">
      <c r="A119" s="67">
        <v>108</v>
      </c>
      <c r="B119" s="50" cm="1">
        <f t="array" ref="B119">IF($C$8=1,HLOOKUP($B$9,TÁBUAS!$B$10:$BU$138,_xlfn.SINGLE(CONSULTA!A119)+3,0),"")</f>
        <v>0.53339662499999996</v>
      </c>
      <c r="C119" s="50" t="str">
        <f>IF($C$8=2,HLOOKUP($C$9,TÁBUAS!$BV$10:$CH$138,CONSULTA!A119+3),"")</f>
        <v/>
      </c>
      <c r="D119" s="50" t="str">
        <f>IF($C$8=3,HLOOKUP($D$9,TÁBUAS!$CI$10:$CX$138,CONSULTA!A119+3),"")</f>
        <v/>
      </c>
      <c r="E119" s="50" t="str">
        <f>IF($C$8=4,HLOOKUP($E$9,TÁBUAS!$CY$10:$DD$138,CONSULTA!A119+3),"")</f>
        <v/>
      </c>
    </row>
    <row r="120" spans="1:5" ht="15.75">
      <c r="A120" s="67">
        <v>109</v>
      </c>
      <c r="B120" s="50" cm="1">
        <f t="array" ref="B120">IF($C$8=1,HLOOKUP($B$9,TÁBUAS!$B$10:$BU$138,_xlfn.SINGLE(CONSULTA!A120)+3,0),"")</f>
        <v>0.58877032100000004</v>
      </c>
      <c r="C120" s="50" t="str">
        <f>IF($C$8=2,HLOOKUP($C$9,TÁBUAS!$BV$10:$CH$138,CONSULTA!A120+3),"")</f>
        <v/>
      </c>
      <c r="D120" s="50" t="str">
        <f>IF($C$8=3,HLOOKUP($D$9,TÁBUAS!$CI$10:$CX$138,CONSULTA!A120+3),"")</f>
        <v/>
      </c>
      <c r="E120" s="50" t="str">
        <f>IF($C$8=4,HLOOKUP($E$9,TÁBUAS!$CY$10:$DD$138,CONSULTA!A120+3),"")</f>
        <v/>
      </c>
    </row>
    <row r="121" spans="1:5" ht="15.75">
      <c r="A121" s="67">
        <v>110</v>
      </c>
      <c r="B121" s="50" cm="1">
        <f t="array" ref="B121">IF($C$8=1,HLOOKUP($B$9,TÁBUAS!$B$10:$BU$138,_xlfn.SINGLE(CONSULTA!A121)+3,0),"")</f>
        <v>0.65132761299999997</v>
      </c>
      <c r="C121" s="50" t="str">
        <f>IF($C$8=2,HLOOKUP($C$9,TÁBUAS!$BV$10:$CH$138,CONSULTA!A121+3),"")</f>
        <v/>
      </c>
      <c r="D121" s="50" t="str">
        <f>IF($C$8=3,HLOOKUP($D$9,TÁBUAS!$CI$10:$CX$138,CONSULTA!A121+3),"")</f>
        <v/>
      </c>
      <c r="E121" s="50" t="str">
        <f>IF($C$8=4,HLOOKUP($E$9,TÁBUAS!$CY$10:$DD$138,CONSULTA!A121+3),"")</f>
        <v/>
      </c>
    </row>
    <row r="122" spans="1:5" ht="15.75">
      <c r="A122" s="67">
        <v>111</v>
      </c>
      <c r="B122" s="50" cm="1">
        <f t="array" ref="B122">IF($C$8=1,HLOOKUP($B$9,TÁBUAS!$B$10:$BU$138,_xlfn.SINGLE(CONSULTA!A122)+3,0),"")</f>
        <v>0.73667789760000002</v>
      </c>
      <c r="C122" s="50" t="str">
        <f>IF($C$8=2,HLOOKUP($C$9,TÁBUAS!$BV$10:$CH$138,CONSULTA!A122+3),"")</f>
        <v/>
      </c>
      <c r="D122" s="50" t="str">
        <f>IF($C$8=3,HLOOKUP($D$9,TÁBUAS!$CI$10:$CX$138,CONSULTA!A122+3),"")</f>
        <v/>
      </c>
      <c r="E122" s="50" t="str">
        <f>IF($C$8=4,HLOOKUP($E$9,TÁBUAS!$CY$10:$DD$138,CONSULTA!A122+3),"")</f>
        <v/>
      </c>
    </row>
    <row r="123" spans="1:5" ht="15.75">
      <c r="A123" s="67">
        <v>112</v>
      </c>
      <c r="B123" s="50" cm="1">
        <f t="array" ref="B123">IF($C$8=1,HLOOKUP($B$9,TÁBUAS!$B$10:$BU$138,_xlfn.SINGLE(CONSULTA!A123)+3,0),"")</f>
        <v>0.82820225349999999</v>
      </c>
      <c r="C123" s="50" t="str">
        <f>IF($C$8=2,HLOOKUP($C$9,TÁBUAS!$BV$10:$CH$138,CONSULTA!A123+3),"")</f>
        <v/>
      </c>
      <c r="D123" s="50" t="str">
        <f>IF($C$8=3,HLOOKUP($D$9,TÁBUAS!$CI$10:$CX$138,CONSULTA!A123+3),"")</f>
        <v/>
      </c>
      <c r="E123" s="50" t="str">
        <f>IF($C$8=4,HLOOKUP($E$9,TÁBUAS!$CY$10:$DD$138,CONSULTA!A123+3),"")</f>
        <v/>
      </c>
    </row>
    <row r="124" spans="1:5" ht="15.75">
      <c r="A124" s="67">
        <v>113</v>
      </c>
      <c r="B124" s="50" cm="1">
        <f t="array" ref="B124">IF($C$8=1,HLOOKUP($B$9,TÁBUAS!$B$10:$BU$138,_xlfn.SINGLE(CONSULTA!A124)+3,0),"")</f>
        <v>0.91657480189999996</v>
      </c>
      <c r="C124" s="50" t="str">
        <f>IF($C$8=2,HLOOKUP($C$9,TÁBUAS!$BV$10:$CH$138,CONSULTA!A124+3),"")</f>
        <v/>
      </c>
      <c r="D124" s="50" t="str">
        <f>IF($C$8=3,HLOOKUP($D$9,TÁBUAS!$CI$10:$CX$138,CONSULTA!A124+3),"")</f>
        <v/>
      </c>
      <c r="E124" s="50" t="str">
        <f>IF($C$8=4,HLOOKUP($E$9,TÁBUAS!$CY$10:$DD$138,CONSULTA!A124+3),"")</f>
        <v/>
      </c>
    </row>
    <row r="125" spans="1:5" ht="15.75">
      <c r="A125" s="67">
        <v>114</v>
      </c>
      <c r="B125" s="50" cm="1">
        <f t="array" ref="B125">IF($C$8=1,HLOOKUP($B$9,TÁBUAS!$B$10:$BU$138,_xlfn.SINGLE(CONSULTA!A125)+3,0),"")</f>
        <v>0.98094651430000002</v>
      </c>
      <c r="C125" s="50" t="str">
        <f>IF($C$8=2,HLOOKUP($C$9,TÁBUAS!$BV$10:$CH$138,CONSULTA!A125+3),"")</f>
        <v/>
      </c>
      <c r="D125" s="50" t="str">
        <f>IF($C$8=3,HLOOKUP($D$9,TÁBUAS!$CI$10:$CX$138,CONSULTA!A125+3),"")</f>
        <v/>
      </c>
      <c r="E125" s="50" t="str">
        <f>IF($C$8=4,HLOOKUP($E$9,TÁBUAS!$CY$10:$DD$138,CONSULTA!A125+3),"")</f>
        <v/>
      </c>
    </row>
    <row r="126" spans="1:5" ht="15.75">
      <c r="A126" s="67">
        <v>115</v>
      </c>
      <c r="B126" s="50" cm="1">
        <f t="array" ref="B126">IF($C$8=1,HLOOKUP($B$9,TÁBUAS!$B$10:$BU$138,_xlfn.SINGLE(CONSULTA!A126)+3,0),"")</f>
        <v>0.99981619720000003</v>
      </c>
      <c r="C126" s="50" t="str">
        <f>IF($C$8=2,HLOOKUP($C$9,TÁBUAS!$BV$10:$CH$138,CONSULTA!A126+3),"")</f>
        <v/>
      </c>
      <c r="D126" s="50" t="str">
        <f>IF($C$8=3,HLOOKUP($D$9,TÁBUAS!$CI$10:$CX$138,CONSULTA!A126+3),"")</f>
        <v/>
      </c>
      <c r="E126" s="50" t="str">
        <f>IF($C$8=4,HLOOKUP($E$9,TÁBUAS!$CY$10:$DD$138,CONSULTA!A126+3),"")</f>
        <v/>
      </c>
    </row>
    <row r="127" spans="1:5" ht="15.75">
      <c r="A127" s="67">
        <v>116</v>
      </c>
      <c r="B127" s="50" cm="1">
        <f t="array" ref="B127">IF($C$8=1,HLOOKUP($B$9,TÁBUAS!$B$10:$BU$138,_xlfn.SINGLE(CONSULTA!A127)+3,0),"")</f>
        <v>1</v>
      </c>
      <c r="C127" s="50" t="str">
        <f>IF($C$8=2,HLOOKUP($C$9,TÁBUAS!$BV$10:$CH$138,CONSULTA!A127+3),"")</f>
        <v/>
      </c>
      <c r="D127" s="50" t="str">
        <f>IF($C$8=3,HLOOKUP($D$9,TÁBUAS!$CI$10:$CX$138,CONSULTA!A127+3),"")</f>
        <v/>
      </c>
      <c r="E127" s="50" t="str">
        <f>IF($C$8=4,HLOOKUP($E$9,TÁBUAS!$CY$10:$DD$138,CONSULTA!A127+3),"")</f>
        <v/>
      </c>
    </row>
    <row r="128" spans="1:5" ht="15.75">
      <c r="A128" s="67">
        <v>117</v>
      </c>
      <c r="B128" s="50" cm="1">
        <f t="array" ref="B128">IF($C$8=1,HLOOKUP($B$9,TÁBUAS!$B$10:$BU$138,_xlfn.SINGLE(CONSULTA!A128)+3,0),"")</f>
        <v>0</v>
      </c>
      <c r="C128" s="50" t="str">
        <f>IF($C$8=2,HLOOKUP($C$9,TÁBUAS!$BV$10:$CH$138,CONSULTA!A128+3),"")</f>
        <v/>
      </c>
      <c r="D128" s="50" t="str">
        <f>IF($C$8=3,HLOOKUP($D$9,TÁBUAS!$CI$10:$CX$138,CONSULTA!A128+3),"")</f>
        <v/>
      </c>
      <c r="E128" s="50" t="str">
        <f>IF($C$8=4,HLOOKUP($E$9,TÁBUAS!$CY$10:$DD$138,CONSULTA!A128+3),"")</f>
        <v/>
      </c>
    </row>
    <row r="129" spans="1:5" ht="15.75">
      <c r="A129" s="67">
        <v>118</v>
      </c>
      <c r="B129" s="50" cm="1">
        <f t="array" ref="B129">IF($C$8=1,HLOOKUP($B$9,TÁBUAS!$B$10:$BU$138,_xlfn.SINGLE(CONSULTA!A129)+3,0),"")</f>
        <v>0</v>
      </c>
      <c r="C129" s="50" t="str">
        <f>IF($C$8=2,HLOOKUP($C$9,TÁBUAS!$BV$10:$CH$138,CONSULTA!A129+3),"")</f>
        <v/>
      </c>
      <c r="D129" s="50" t="str">
        <f>IF($C$8=3,HLOOKUP($D$9,TÁBUAS!$CI$10:$CX$138,CONSULTA!A129+3),"")</f>
        <v/>
      </c>
      <c r="E129" s="50" t="str">
        <f>IF($C$8=4,HLOOKUP($E$9,TÁBUAS!$CY$10:$DD$138,CONSULTA!A129+3),"")</f>
        <v/>
      </c>
    </row>
    <row r="130" spans="1:5" ht="15.75">
      <c r="A130" s="67">
        <v>119</v>
      </c>
      <c r="B130" s="50" cm="1">
        <f t="array" ref="B130">IF($C$8=1,HLOOKUP($B$9,TÁBUAS!$B$10:$BU$138,_xlfn.SINGLE(CONSULTA!A130)+3,0),"")</f>
        <v>0</v>
      </c>
      <c r="C130" s="50" t="str">
        <f>IF($C$8=2,HLOOKUP($C$9,TÁBUAS!$BV$10:$CH$138,CONSULTA!A130+3),"")</f>
        <v/>
      </c>
      <c r="D130" s="50" t="str">
        <f>IF($C$8=3,HLOOKUP($D$9,TÁBUAS!$CI$10:$CX$138,CONSULTA!A130+3),"")</f>
        <v/>
      </c>
      <c r="E130" s="50" t="str">
        <f>IF($C$8=4,HLOOKUP($E$9,TÁBUAS!$CY$10:$DD$138,CONSULTA!A130+3),"")</f>
        <v/>
      </c>
    </row>
    <row r="131" spans="1:5" ht="15.75">
      <c r="A131" s="67">
        <v>120</v>
      </c>
      <c r="B131" s="50" cm="1">
        <f t="array" ref="B131">IF($C$8=1,HLOOKUP($B$9,TÁBUAS!$B$10:$BU$138,_xlfn.SINGLE(CONSULTA!A131)+3,0),"")</f>
        <v>0</v>
      </c>
      <c r="C131" s="50" t="str">
        <f>IF($C$8=2,HLOOKUP($C$9,TÁBUAS!$BV$10:$CH$138,CONSULTA!A131+3),"")</f>
        <v/>
      </c>
      <c r="D131" s="50" t="str">
        <f>IF($C$8=3,HLOOKUP($D$9,TÁBUAS!$CI$10:$CX$138,CONSULTA!A131+3),"")</f>
        <v/>
      </c>
      <c r="E131" s="50" t="str">
        <f>IF($C$8=4,HLOOKUP($E$9,TÁBUAS!$CY$10:$DD$138,CONSULTA!A131+3),"")</f>
        <v/>
      </c>
    </row>
    <row r="132" spans="1:5" ht="15.75">
      <c r="A132" s="67">
        <v>121</v>
      </c>
      <c r="B132" s="50" cm="1">
        <f t="array" ref="B132">IF($C$8=1,HLOOKUP($B$9,TÁBUAS!$B$10:$BU$138,_xlfn.SINGLE(CONSULTA!A132)+3,0),"")</f>
        <v>0</v>
      </c>
      <c r="C132" s="50" t="str">
        <f>IF($C$8=2,HLOOKUP($C$9,TÁBUAS!$BV$10:$CH$138,CONSULTA!A132+3),"")</f>
        <v/>
      </c>
      <c r="D132" s="50" t="str">
        <f>IF($C$8=3,HLOOKUP($D$9,TÁBUAS!$CI$10:$CX$138,CONSULTA!A132+3),"")</f>
        <v/>
      </c>
      <c r="E132" s="50" t="str">
        <f>IF($C$8=4,HLOOKUP($E$9,TÁBUAS!$CY$10:$DD$138,CONSULTA!A132+3),"")</f>
        <v/>
      </c>
    </row>
    <row r="133" spans="1:5" ht="15.75">
      <c r="A133" s="67">
        <v>122</v>
      </c>
      <c r="B133" s="50" cm="1">
        <f t="array" ref="B133">IF($C$8=1,HLOOKUP($B$9,TÁBUAS!$B$10:$BU$138,_xlfn.SINGLE(CONSULTA!A133)+3,0),"")</f>
        <v>0</v>
      </c>
      <c r="C133" s="50" t="str">
        <f>IF($C$8=2,HLOOKUP($C$9,TÁBUAS!$BV$10:$CH$138,CONSULTA!A133+3),"")</f>
        <v/>
      </c>
      <c r="D133" s="50" t="str">
        <f>IF($C$8=3,HLOOKUP($D$9,TÁBUAS!$CI$10:$CX$138,CONSULTA!A133+3),"")</f>
        <v/>
      </c>
      <c r="E133" s="50" t="str">
        <f>IF($C$8=4,HLOOKUP($E$9,TÁBUAS!$CY$10:$DD$138,CONSULTA!A133+3),"")</f>
        <v/>
      </c>
    </row>
    <row r="134" spans="1:5" ht="15.75">
      <c r="A134" s="67">
        <v>123</v>
      </c>
      <c r="B134" s="50" cm="1">
        <f t="array" ref="B134">IF($C$8=1,HLOOKUP($B$9,TÁBUAS!$B$10:$BU$138,_xlfn.SINGLE(CONSULTA!A134)+3,0),"")</f>
        <v>0</v>
      </c>
      <c r="C134" s="50" t="str">
        <f>IF($C$8=2,HLOOKUP($C$9,TÁBUAS!$BV$10:$CH$138,CONSULTA!A134+3),"")</f>
        <v/>
      </c>
      <c r="D134" s="50" t="str">
        <f>IF($C$8=3,HLOOKUP($D$9,TÁBUAS!$CI$10:$CX$138,CONSULTA!A134+3),"")</f>
        <v/>
      </c>
      <c r="E134" s="50" t="str">
        <f>IF($C$8=4,HLOOKUP($E$9,TÁBUAS!$CY$10:$DD$138,CONSULTA!A134+3),"")</f>
        <v/>
      </c>
    </row>
    <row r="135" spans="1:5" ht="15.75">
      <c r="A135" s="67">
        <v>124</v>
      </c>
      <c r="B135" s="50" cm="1">
        <f t="array" ref="B135">IF($C$8=1,HLOOKUP($B$9,TÁBUAS!$B$10:$BU$138,_xlfn.SINGLE(CONSULTA!A135)+3,0),"")</f>
        <v>0</v>
      </c>
      <c r="C135" s="50" t="str">
        <f>IF($C$8=2,HLOOKUP($C$9,TÁBUAS!$BV$10:$CH$138,CONSULTA!A135+3),"")</f>
        <v/>
      </c>
      <c r="D135" s="50" t="str">
        <f>IF($C$8=3,HLOOKUP($D$9,TÁBUAS!$CI$10:$CX$138,CONSULTA!A135+3),"")</f>
        <v/>
      </c>
      <c r="E135" s="50" t="str">
        <f>IF($C$8=4,HLOOKUP($E$9,TÁBUAS!$CY$10:$DD$138,CONSULTA!A135+3),"")</f>
        <v/>
      </c>
    </row>
    <row r="136" spans="1:5" ht="15.75">
      <c r="A136" s="67">
        <v>125</v>
      </c>
      <c r="B136" s="50" cm="1">
        <f t="array" ref="B136">IF($C$8=1,HLOOKUP($B$9,TÁBUAS!$B$10:$BU$138,_xlfn.SINGLE(CONSULTA!A136)+3,0),"")</f>
        <v>0</v>
      </c>
      <c r="C136" s="50" t="str">
        <f>IF($C$8=2,HLOOKUP($C$9,TÁBUAS!$BV$10:$CH$138,CONSULTA!A136+3),"")</f>
        <v/>
      </c>
      <c r="D136" s="50" t="str">
        <f>IF($C$8=3,HLOOKUP($D$9,TÁBUAS!$CI$10:$CX$138,CONSULTA!A136+3),"")</f>
        <v/>
      </c>
      <c r="E136" s="50" t="str">
        <f>IF($C$8=4,HLOOKUP($E$9,TÁBUAS!$CY$10:$DD$138,CONSULTA!A136+3),"")</f>
        <v/>
      </c>
    </row>
    <row r="137" spans="1:5" ht="15.75">
      <c r="A137" s="67">
        <v>126</v>
      </c>
      <c r="B137" s="50" cm="1">
        <f t="array" ref="B137">IF($C$8=1,HLOOKUP($B$9,TÁBUAS!$B$10:$BU$138,_xlfn.SINGLE(CONSULTA!A137)+3,0),"")</f>
        <v>0</v>
      </c>
      <c r="C137" s="50" t="str">
        <f>IF($C$8=2,HLOOKUP($C$9,TÁBUAS!$BV$10:$CH$138,CONSULTA!A137+3),"")</f>
        <v/>
      </c>
      <c r="D137" s="50" t="str">
        <f>IF($C$8=3,HLOOKUP($D$9,TÁBUAS!$CI$10:$CX$138,CONSULTA!A137+3),"")</f>
        <v/>
      </c>
      <c r="E137" s="50" t="str">
        <f>IF($C$8=4,HLOOKUP($E$9,TÁBUAS!$CY$10:$DD$138,CONSULTA!A137+3),"")</f>
        <v/>
      </c>
    </row>
    <row r="138" spans="1:5" hidden="1"/>
    <row r="139" spans="1:5" hidden="1"/>
    <row r="140" spans="1:5" hidden="1"/>
    <row r="141" spans="1:5" hidden="1"/>
    <row r="142" spans="1:5" hidden="1"/>
    <row r="143" spans="1:5" hidden="1"/>
    <row r="144" spans="1:5" hidden="1"/>
    <row r="145" hidden="1"/>
  </sheetData>
  <sheetProtection formatCells="0" formatColumns="0" formatRows="0" insertColumns="0" insertRows="0" insertHyperlinks="0" deleteColumns="0" deleteRows="0" sort="0" autoFilter="0" pivotTables="0"/>
  <mergeCells count="1">
    <mergeCell ref="B2:E4"/>
  </mergeCells>
  <conditionalFormatting sqref="B9">
    <cfRule type="expression" dxfId="7" priority="13" stopIfTrue="1">
      <formula>$C$8=1</formula>
    </cfRule>
  </conditionalFormatting>
  <conditionalFormatting sqref="C9">
    <cfRule type="expression" dxfId="6" priority="12" stopIfTrue="1">
      <formula>$C$8=2</formula>
    </cfRule>
  </conditionalFormatting>
  <conditionalFormatting sqref="D9">
    <cfRule type="expression" dxfId="5" priority="11" stopIfTrue="1">
      <formula>$C$8=3</formula>
    </cfRule>
  </conditionalFormatting>
  <conditionalFormatting sqref="E9">
    <cfRule type="expression" dxfId="4" priority="10" stopIfTrue="1">
      <formula>$C$8=4</formula>
    </cfRule>
  </conditionalFormatting>
  <conditionalFormatting sqref="B10">
    <cfRule type="expression" dxfId="3" priority="9" stopIfTrue="1">
      <formula>$C$8=1</formula>
    </cfRule>
  </conditionalFormatting>
  <conditionalFormatting sqref="C10">
    <cfRule type="expression" dxfId="2" priority="8" stopIfTrue="1">
      <formula>$C$8=2</formula>
    </cfRule>
  </conditionalFormatting>
  <conditionalFormatting sqref="D10">
    <cfRule type="expression" dxfId="1" priority="7" stopIfTrue="1">
      <formula>$C$8=3</formula>
    </cfRule>
  </conditionalFormatting>
  <conditionalFormatting sqref="E10">
    <cfRule type="expression" dxfId="0" priority="6" stopIfTrue="1">
      <formula>$C$8=4</formula>
    </cfRule>
  </conditionalFormatting>
  <dataValidations count="5">
    <dataValidation type="list" allowBlank="1" showInputMessage="1" showErrorMessage="1" sqref="C9" xr:uid="{00000000-0002-0000-0100-000000000000}">
      <formula1>$O$13:$O$25</formula1>
    </dataValidation>
    <dataValidation type="list" allowBlank="1" showInputMessage="1" showErrorMessage="1" sqref="D9" xr:uid="{00000000-0002-0000-0100-000001000000}">
      <formula1>$P$13:$P$28</formula1>
    </dataValidation>
    <dataValidation type="list" allowBlank="1" showInputMessage="1" showErrorMessage="1" sqref="E9" xr:uid="{00000000-0002-0000-0100-000002000000}">
      <formula1>$Q$13:$Q$18</formula1>
    </dataValidation>
    <dataValidation type="list" allowBlank="1" showInputMessage="1" showErrorMessage="1" errorTitle="ERRO!" error="Selecione um tipo de tábua válido." sqref="C7" xr:uid="{00000000-0002-0000-0100-000003000000}">
      <formula1>$N$7:$N$10</formula1>
    </dataValidation>
    <dataValidation type="list" allowBlank="1" showInputMessage="1" showErrorMessage="1" errorTitle="ERRO!" error="Selecione uma tábua válida." sqref="B9" xr:uid="{00000000-0002-0000-0100-000004000000}">
      <formula1>$N$13:$N$84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6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GB143"/>
  <sheetViews>
    <sheetView showGridLines="0" workbookViewId="0">
      <pane xSplit="1" ySplit="11" topLeftCell="B12" activePane="bottomRight" state="frozen"/>
      <selection pane="topRight" activeCell="B1" sqref="B1"/>
      <selection pane="bottomLeft" activeCell="A9" sqref="A9"/>
      <selection pane="bottomRight" activeCell="A10" sqref="A10"/>
    </sheetView>
  </sheetViews>
  <sheetFormatPr defaultColWidth="0" defaultRowHeight="15" zeroHeight="1"/>
  <cols>
    <col min="1" max="1" width="9.140625" style="57" customWidth="1"/>
    <col min="2" max="20" width="15.7109375" style="83" customWidth="1"/>
    <col min="21" max="24" width="15.7109375" style="84" customWidth="1"/>
    <col min="25" max="28" width="15.7109375" style="85" customWidth="1"/>
    <col min="29" max="41" width="15.7109375" style="83" customWidth="1"/>
    <col min="42" max="42" width="19.42578125" style="83" customWidth="1"/>
    <col min="43" max="43" width="19.5703125" style="83" customWidth="1"/>
    <col min="44" max="44" width="20.85546875" style="83" customWidth="1"/>
    <col min="45" max="60" width="15.7109375" style="83" customWidth="1"/>
    <col min="61" max="61" width="15.7109375" style="84" customWidth="1"/>
    <col min="62" max="68" width="15.7109375" style="83" customWidth="1"/>
    <col min="69" max="69" width="18.5703125" style="83" customWidth="1"/>
    <col min="70" max="84" width="15.7109375" style="83" customWidth="1"/>
    <col min="85" max="86" width="15.7109375" style="84" customWidth="1"/>
    <col min="87" max="88" width="15.7109375" style="83" customWidth="1"/>
    <col min="89" max="89" width="15.7109375" style="84" customWidth="1"/>
    <col min="90" max="91" width="15.7109375" style="83" customWidth="1"/>
    <col min="92" max="92" width="15.7109375" style="84" customWidth="1"/>
    <col min="93" max="108" width="15.7109375" style="83" customWidth="1"/>
    <col min="109" max="184" width="15.7109375" style="83" hidden="1" customWidth="1"/>
    <col min="185" max="16384" width="0" style="83" hidden="1"/>
  </cols>
  <sheetData>
    <row r="1" spans="1:108"/>
    <row r="2" spans="1:108" ht="39">
      <c r="D2" s="109" t="s">
        <v>265</v>
      </c>
      <c r="E2" s="86"/>
    </row>
    <row r="3" spans="1:108"/>
    <row r="4" spans="1:108" ht="14.25" customHeight="1">
      <c r="A4" s="71">
        <v>1</v>
      </c>
      <c r="B4" s="72" t="s">
        <v>236</v>
      </c>
      <c r="C4" s="72"/>
      <c r="D4" s="87"/>
      <c r="E4" s="86"/>
      <c r="F4" s="86"/>
      <c r="G4" s="86"/>
      <c r="H4" s="86"/>
      <c r="I4" s="86"/>
      <c r="BI4" s="83"/>
      <c r="CG4" s="83"/>
      <c r="CH4" s="83"/>
      <c r="CK4" s="83"/>
      <c r="CN4" s="83"/>
    </row>
    <row r="5" spans="1:108" ht="15" customHeight="1">
      <c r="A5" s="71">
        <v>2</v>
      </c>
      <c r="B5" s="72" t="s">
        <v>237</v>
      </c>
      <c r="C5" s="72"/>
      <c r="D5" s="87"/>
      <c r="E5" s="86"/>
      <c r="F5" s="86"/>
      <c r="G5" s="86"/>
      <c r="H5" s="86"/>
      <c r="I5" s="86"/>
      <c r="J5" s="56"/>
      <c r="K5" s="56"/>
      <c r="L5" s="56"/>
      <c r="M5" s="56"/>
      <c r="BI5" s="83"/>
      <c r="CG5" s="83"/>
      <c r="CH5" s="83"/>
      <c r="CK5" s="83"/>
      <c r="CN5" s="83"/>
    </row>
    <row r="6" spans="1:108" ht="15" customHeight="1">
      <c r="A6" s="71">
        <v>3</v>
      </c>
      <c r="B6" s="72" t="s">
        <v>238</v>
      </c>
      <c r="C6" s="72"/>
      <c r="D6" s="87"/>
      <c r="E6" s="86"/>
      <c r="F6" s="86"/>
      <c r="G6" s="86"/>
      <c r="H6" s="86"/>
      <c r="I6" s="86"/>
      <c r="J6" s="56"/>
      <c r="K6" s="56"/>
      <c r="L6" s="56"/>
      <c r="M6" s="56"/>
      <c r="BI6" s="83"/>
      <c r="CG6" s="83"/>
      <c r="CH6" s="83"/>
      <c r="CK6" s="83"/>
      <c r="CN6" s="83"/>
    </row>
    <row r="7" spans="1:108" ht="15" customHeight="1">
      <c r="A7" s="71">
        <v>4</v>
      </c>
      <c r="B7" s="73" t="s">
        <v>239</v>
      </c>
      <c r="C7" s="74"/>
      <c r="D7" s="87"/>
      <c r="E7" s="86"/>
      <c r="F7" s="86"/>
      <c r="G7" s="86"/>
      <c r="H7" s="86"/>
      <c r="I7" s="86"/>
      <c r="J7" s="56"/>
      <c r="K7" s="56"/>
      <c r="L7" s="56"/>
      <c r="M7" s="56"/>
      <c r="BI7" s="83"/>
      <c r="CG7" s="83"/>
      <c r="CH7" s="83"/>
      <c r="CK7" s="83"/>
      <c r="CN7" s="83"/>
    </row>
    <row r="8" spans="1:108" ht="15" customHeight="1">
      <c r="BI8" s="83"/>
      <c r="CG8" s="83"/>
      <c r="CH8" s="83"/>
      <c r="CK8" s="83"/>
      <c r="CN8" s="83"/>
    </row>
    <row r="9" spans="1:108" s="57" customFormat="1">
      <c r="A9" s="54" t="s">
        <v>193</v>
      </c>
      <c r="B9" s="54">
        <v>1</v>
      </c>
      <c r="C9" s="54">
        <v>1</v>
      </c>
      <c r="D9" s="54">
        <v>1</v>
      </c>
      <c r="E9" s="54">
        <v>1</v>
      </c>
      <c r="F9" s="54">
        <v>1</v>
      </c>
      <c r="G9" s="54">
        <v>1</v>
      </c>
      <c r="H9" s="54">
        <v>1</v>
      </c>
      <c r="I9" s="54">
        <v>1</v>
      </c>
      <c r="J9" s="54">
        <v>1</v>
      </c>
      <c r="K9" s="54">
        <v>1</v>
      </c>
      <c r="L9" s="54">
        <v>1</v>
      </c>
      <c r="M9" s="54">
        <v>1</v>
      </c>
      <c r="N9" s="54">
        <v>1</v>
      </c>
      <c r="O9" s="54">
        <v>1</v>
      </c>
      <c r="P9" s="54">
        <v>1</v>
      </c>
      <c r="Q9" s="54">
        <v>1</v>
      </c>
      <c r="R9" s="54">
        <v>1</v>
      </c>
      <c r="S9" s="54">
        <v>1</v>
      </c>
      <c r="T9" s="54">
        <v>1</v>
      </c>
      <c r="U9" s="58">
        <v>1</v>
      </c>
      <c r="V9" s="58">
        <v>1</v>
      </c>
      <c r="W9" s="58">
        <v>1</v>
      </c>
      <c r="X9" s="58">
        <v>1</v>
      </c>
      <c r="Y9" s="59">
        <v>1</v>
      </c>
      <c r="Z9" s="59">
        <v>1</v>
      </c>
      <c r="AA9" s="59">
        <v>1</v>
      </c>
      <c r="AB9" s="59">
        <v>1</v>
      </c>
      <c r="AC9" s="54">
        <v>1</v>
      </c>
      <c r="AD9" s="54">
        <v>1</v>
      </c>
      <c r="AE9" s="54">
        <v>1</v>
      </c>
      <c r="AF9" s="54">
        <v>1</v>
      </c>
      <c r="AG9" s="54">
        <v>1</v>
      </c>
      <c r="AH9" s="54">
        <v>1</v>
      </c>
      <c r="AI9" s="54">
        <v>1</v>
      </c>
      <c r="AJ9" s="54">
        <v>1</v>
      </c>
      <c r="AK9" s="54">
        <v>1</v>
      </c>
      <c r="AL9" s="54">
        <v>1</v>
      </c>
      <c r="AM9" s="54">
        <v>1</v>
      </c>
      <c r="AN9" s="54">
        <v>1</v>
      </c>
      <c r="AO9" s="54">
        <v>1</v>
      </c>
      <c r="AP9" s="54">
        <v>1</v>
      </c>
      <c r="AQ9" s="54">
        <v>1</v>
      </c>
      <c r="AR9" s="54">
        <v>1</v>
      </c>
      <c r="AS9" s="54">
        <v>1</v>
      </c>
      <c r="AT9" s="54">
        <v>1</v>
      </c>
      <c r="AU9" s="54">
        <v>1</v>
      </c>
      <c r="AV9" s="54">
        <v>1</v>
      </c>
      <c r="AW9" s="54">
        <v>1</v>
      </c>
      <c r="AX9" s="54">
        <v>1</v>
      </c>
      <c r="AY9" s="54">
        <v>1</v>
      </c>
      <c r="AZ9" s="54">
        <v>1</v>
      </c>
      <c r="BA9" s="54">
        <v>1</v>
      </c>
      <c r="BB9" s="54">
        <v>1</v>
      </c>
      <c r="BC9" s="54">
        <v>1</v>
      </c>
      <c r="BD9" s="54">
        <v>1</v>
      </c>
      <c r="BE9" s="54">
        <v>1</v>
      </c>
      <c r="BF9" s="54">
        <v>1</v>
      </c>
      <c r="BG9" s="54">
        <v>1</v>
      </c>
      <c r="BH9" s="54">
        <v>1</v>
      </c>
      <c r="BI9" s="54">
        <v>1</v>
      </c>
      <c r="BJ9" s="54">
        <v>1</v>
      </c>
      <c r="BK9" s="54">
        <v>1</v>
      </c>
      <c r="BL9" s="54">
        <v>1</v>
      </c>
      <c r="BM9" s="54">
        <v>1</v>
      </c>
      <c r="BN9" s="54">
        <v>1</v>
      </c>
      <c r="BO9" s="54">
        <v>1</v>
      </c>
      <c r="BP9" s="54">
        <v>1</v>
      </c>
      <c r="BQ9" s="54">
        <v>1</v>
      </c>
      <c r="BR9" s="54">
        <v>1</v>
      </c>
      <c r="BS9" s="54">
        <v>1</v>
      </c>
      <c r="BT9" s="54">
        <v>1</v>
      </c>
      <c r="BU9" s="54">
        <v>1</v>
      </c>
      <c r="BV9" s="54">
        <v>2</v>
      </c>
      <c r="BW9" s="54">
        <v>2</v>
      </c>
      <c r="BX9" s="54">
        <v>2</v>
      </c>
      <c r="BY9" s="54">
        <v>2</v>
      </c>
      <c r="BZ9" s="54">
        <v>2</v>
      </c>
      <c r="CA9" s="54">
        <v>2</v>
      </c>
      <c r="CB9" s="54">
        <v>2</v>
      </c>
      <c r="CC9" s="54">
        <v>2</v>
      </c>
      <c r="CD9" s="54">
        <v>2</v>
      </c>
      <c r="CE9" s="54">
        <v>2</v>
      </c>
      <c r="CF9" s="54">
        <v>2</v>
      </c>
      <c r="CG9" s="54">
        <v>2</v>
      </c>
      <c r="CH9" s="54">
        <v>2</v>
      </c>
      <c r="CI9" s="54">
        <v>3</v>
      </c>
      <c r="CJ9" s="54">
        <v>3</v>
      </c>
      <c r="CK9" s="54">
        <v>3</v>
      </c>
      <c r="CL9" s="54">
        <v>3</v>
      </c>
      <c r="CM9" s="54">
        <v>3</v>
      </c>
      <c r="CN9" s="54">
        <v>3</v>
      </c>
      <c r="CO9" s="54">
        <v>3</v>
      </c>
      <c r="CP9" s="54">
        <v>3</v>
      </c>
      <c r="CQ9" s="54">
        <v>3</v>
      </c>
      <c r="CR9" s="54">
        <v>3</v>
      </c>
      <c r="CS9" s="54">
        <v>3</v>
      </c>
      <c r="CT9" s="54">
        <v>3</v>
      </c>
      <c r="CU9" s="54">
        <v>3</v>
      </c>
      <c r="CV9" s="54">
        <v>3</v>
      </c>
      <c r="CW9" s="54">
        <v>3</v>
      </c>
      <c r="CX9" s="54">
        <v>3</v>
      </c>
      <c r="CY9" s="54">
        <v>4</v>
      </c>
      <c r="CZ9" s="54">
        <v>4</v>
      </c>
      <c r="DA9" s="54">
        <v>4</v>
      </c>
      <c r="DB9" s="54">
        <v>4</v>
      </c>
      <c r="DC9" s="54">
        <v>4</v>
      </c>
      <c r="DD9" s="54">
        <v>4</v>
      </c>
    </row>
    <row r="10" spans="1:108" s="55" customFormat="1" ht="45">
      <c r="A10" s="54" t="s">
        <v>1</v>
      </c>
      <c r="B10" s="88" t="s">
        <v>146</v>
      </c>
      <c r="C10" s="88" t="s">
        <v>136</v>
      </c>
      <c r="D10" s="89" t="s">
        <v>222</v>
      </c>
      <c r="E10" s="89" t="s">
        <v>215</v>
      </c>
      <c r="F10" s="88" t="s">
        <v>3</v>
      </c>
      <c r="G10" s="88" t="s">
        <v>194</v>
      </c>
      <c r="H10" s="88" t="s">
        <v>196</v>
      </c>
      <c r="I10" s="88" t="s">
        <v>195</v>
      </c>
      <c r="J10" s="88" t="s">
        <v>4</v>
      </c>
      <c r="K10" s="88" t="s">
        <v>5</v>
      </c>
      <c r="L10" s="88" t="s">
        <v>6</v>
      </c>
      <c r="M10" s="88" t="s">
        <v>197</v>
      </c>
      <c r="N10" s="88" t="s">
        <v>198</v>
      </c>
      <c r="O10" s="88" t="s">
        <v>199</v>
      </c>
      <c r="P10" s="88" t="s">
        <v>200</v>
      </c>
      <c r="Q10" s="88" t="s">
        <v>11</v>
      </c>
      <c r="R10" s="88" t="s">
        <v>10</v>
      </c>
      <c r="S10" s="88" t="s">
        <v>9</v>
      </c>
      <c r="T10" s="88" t="s">
        <v>8</v>
      </c>
      <c r="U10" s="89" t="s">
        <v>251</v>
      </c>
      <c r="V10" s="89" t="s">
        <v>252</v>
      </c>
      <c r="W10" s="89" t="s">
        <v>253</v>
      </c>
      <c r="X10" s="89" t="s">
        <v>254</v>
      </c>
      <c r="Y10" s="90" t="s">
        <v>256</v>
      </c>
      <c r="Z10" s="90" t="s">
        <v>257</v>
      </c>
      <c r="AA10" s="90" t="s">
        <v>258</v>
      </c>
      <c r="AB10" s="90" t="s">
        <v>259</v>
      </c>
      <c r="AC10" s="91" t="s">
        <v>147</v>
      </c>
      <c r="AD10" s="88" t="s">
        <v>12</v>
      </c>
      <c r="AE10" s="88" t="s">
        <v>13</v>
      </c>
      <c r="AF10" s="88" t="s">
        <v>226</v>
      </c>
      <c r="AG10" s="88" t="s">
        <v>227</v>
      </c>
      <c r="AH10" s="88" t="s">
        <v>228</v>
      </c>
      <c r="AI10" s="88" t="s">
        <v>216</v>
      </c>
      <c r="AJ10" s="88" t="s">
        <v>223</v>
      </c>
      <c r="AK10" s="88" t="s">
        <v>224</v>
      </c>
      <c r="AL10" s="88" t="s">
        <v>225</v>
      </c>
      <c r="AM10" s="88" t="s">
        <v>7</v>
      </c>
      <c r="AN10" s="88" t="s">
        <v>15</v>
      </c>
      <c r="AO10" s="88" t="s">
        <v>229</v>
      </c>
      <c r="AP10" s="92" t="s">
        <v>244</v>
      </c>
      <c r="AQ10" s="92" t="s">
        <v>205</v>
      </c>
      <c r="AR10" s="92" t="s">
        <v>230</v>
      </c>
      <c r="AS10" s="92" t="s">
        <v>245</v>
      </c>
      <c r="AT10" s="89" t="s">
        <v>14</v>
      </c>
      <c r="AU10" s="89" t="s">
        <v>207</v>
      </c>
      <c r="AV10" s="91" t="s">
        <v>152</v>
      </c>
      <c r="AW10" s="88" t="s">
        <v>144</v>
      </c>
      <c r="AX10" s="88" t="s">
        <v>145</v>
      </c>
      <c r="AY10" s="91" t="s">
        <v>151</v>
      </c>
      <c r="AZ10" s="89" t="s">
        <v>208</v>
      </c>
      <c r="BA10" s="89" t="s">
        <v>209</v>
      </c>
      <c r="BB10" s="88" t="s">
        <v>142</v>
      </c>
      <c r="BC10" s="88" t="s">
        <v>140</v>
      </c>
      <c r="BD10" s="88" t="s">
        <v>248</v>
      </c>
      <c r="BE10" s="88" t="s">
        <v>247</v>
      </c>
      <c r="BF10" s="88" t="s">
        <v>249</v>
      </c>
      <c r="BG10" s="88" t="s">
        <v>250</v>
      </c>
      <c r="BH10" s="91" t="s">
        <v>148</v>
      </c>
      <c r="BI10" s="93" t="s">
        <v>149</v>
      </c>
      <c r="BJ10" s="88" t="s">
        <v>132</v>
      </c>
      <c r="BK10" s="88" t="s">
        <v>210</v>
      </c>
      <c r="BL10" s="88" t="s">
        <v>137</v>
      </c>
      <c r="BM10" s="88" t="s">
        <v>138</v>
      </c>
      <c r="BN10" s="88" t="s">
        <v>139</v>
      </c>
      <c r="BO10" s="93" t="s">
        <v>134</v>
      </c>
      <c r="BP10" s="93" t="s">
        <v>135</v>
      </c>
      <c r="BQ10" s="93" t="s">
        <v>214</v>
      </c>
      <c r="BR10" s="89" t="s">
        <v>212</v>
      </c>
      <c r="BS10" s="89" t="s">
        <v>211</v>
      </c>
      <c r="BT10" s="88" t="s">
        <v>143</v>
      </c>
      <c r="BU10" s="91" t="s">
        <v>150</v>
      </c>
      <c r="BV10" s="88" t="s">
        <v>155</v>
      </c>
      <c r="BW10" s="88" t="s">
        <v>164</v>
      </c>
      <c r="BX10" s="88" t="s">
        <v>142</v>
      </c>
      <c r="BY10" s="88" t="s">
        <v>153</v>
      </c>
      <c r="BZ10" s="89" t="s">
        <v>192</v>
      </c>
      <c r="CA10" s="88" t="s">
        <v>172</v>
      </c>
      <c r="CB10" s="88" t="s">
        <v>157</v>
      </c>
      <c r="CC10" s="88" t="s">
        <v>158</v>
      </c>
      <c r="CD10" s="88" t="s">
        <v>163</v>
      </c>
      <c r="CE10" s="88" t="s">
        <v>191</v>
      </c>
      <c r="CF10" s="88" t="s">
        <v>154</v>
      </c>
      <c r="CG10" s="89" t="s">
        <v>168</v>
      </c>
      <c r="CH10" s="89" t="s">
        <v>160</v>
      </c>
      <c r="CI10" s="88" t="s">
        <v>165</v>
      </c>
      <c r="CJ10" s="88" t="s">
        <v>175</v>
      </c>
      <c r="CK10" s="89" t="s">
        <v>178</v>
      </c>
      <c r="CL10" s="89" t="s">
        <v>161</v>
      </c>
      <c r="CM10" s="89" t="s">
        <v>170</v>
      </c>
      <c r="CN10" s="89" t="s">
        <v>192</v>
      </c>
      <c r="CO10" s="88" t="s">
        <v>190</v>
      </c>
      <c r="CP10" s="88" t="s">
        <v>166</v>
      </c>
      <c r="CQ10" s="89" t="s">
        <v>172</v>
      </c>
      <c r="CR10" s="88" t="s">
        <v>177</v>
      </c>
      <c r="CS10" s="88" t="s">
        <v>174</v>
      </c>
      <c r="CT10" s="88" t="s">
        <v>180</v>
      </c>
      <c r="CU10" s="88" t="s">
        <v>179</v>
      </c>
      <c r="CV10" s="88" t="s">
        <v>176</v>
      </c>
      <c r="CW10" s="88" t="s">
        <v>173</v>
      </c>
      <c r="CX10" s="88" t="s">
        <v>182</v>
      </c>
      <c r="CY10" s="94" t="s">
        <v>187</v>
      </c>
      <c r="CZ10" s="94" t="s">
        <v>186</v>
      </c>
      <c r="DA10" s="94" t="s">
        <v>189</v>
      </c>
      <c r="DB10" s="94" t="s">
        <v>183</v>
      </c>
      <c r="DC10" s="94" t="s">
        <v>184</v>
      </c>
      <c r="DD10" s="94" t="s">
        <v>188</v>
      </c>
    </row>
    <row r="11" spans="1:108" s="55" customFormat="1" ht="30">
      <c r="A11" s="54" t="s">
        <v>2</v>
      </c>
      <c r="B11" s="88"/>
      <c r="C11" s="88"/>
      <c r="D11" s="89" t="s">
        <v>0</v>
      </c>
      <c r="E11" s="89" t="s">
        <v>0</v>
      </c>
      <c r="F11" s="88" t="s">
        <v>0</v>
      </c>
      <c r="G11" s="88" t="s">
        <v>0</v>
      </c>
      <c r="H11" s="88" t="s">
        <v>0</v>
      </c>
      <c r="I11" s="88" t="s">
        <v>0</v>
      </c>
      <c r="J11" s="88"/>
      <c r="K11" s="88"/>
      <c r="L11" s="88"/>
      <c r="M11" s="88" t="s">
        <v>0</v>
      </c>
      <c r="N11" s="88" t="s">
        <v>0</v>
      </c>
      <c r="O11" s="88" t="s">
        <v>0</v>
      </c>
      <c r="P11" s="88" t="s">
        <v>0</v>
      </c>
      <c r="Q11" s="88" t="s">
        <v>243</v>
      </c>
      <c r="R11" s="88" t="s">
        <v>243</v>
      </c>
      <c r="S11" s="88" t="s">
        <v>243</v>
      </c>
      <c r="T11" s="88" t="s">
        <v>243</v>
      </c>
      <c r="U11" s="89" t="s">
        <v>255</v>
      </c>
      <c r="V11" s="89" t="s">
        <v>255</v>
      </c>
      <c r="W11" s="89" t="s">
        <v>255</v>
      </c>
      <c r="X11" s="89" t="s">
        <v>255</v>
      </c>
      <c r="Y11" s="90" t="s">
        <v>260</v>
      </c>
      <c r="Z11" s="90" t="s">
        <v>260</v>
      </c>
      <c r="AA11" s="90" t="s">
        <v>260</v>
      </c>
      <c r="AB11" s="90" t="s">
        <v>260</v>
      </c>
      <c r="AC11" s="91"/>
      <c r="AD11" s="88"/>
      <c r="AE11" s="88"/>
      <c r="AF11" s="88"/>
      <c r="AG11" s="88"/>
      <c r="AH11" s="88"/>
      <c r="AI11" s="88"/>
      <c r="AJ11" s="88" t="s">
        <v>0</v>
      </c>
      <c r="AK11" s="88" t="s">
        <v>0</v>
      </c>
      <c r="AL11" s="88"/>
      <c r="AM11" s="88"/>
      <c r="AN11" s="88" t="s">
        <v>0</v>
      </c>
      <c r="AO11" s="88" t="s">
        <v>0</v>
      </c>
      <c r="AP11" s="93" t="s">
        <v>0</v>
      </c>
      <c r="AQ11" s="93" t="s">
        <v>0</v>
      </c>
      <c r="AR11" s="93" t="s">
        <v>0</v>
      </c>
      <c r="AS11" s="93" t="s">
        <v>0</v>
      </c>
      <c r="AT11" s="89" t="s">
        <v>0</v>
      </c>
      <c r="AU11" s="89" t="s">
        <v>0</v>
      </c>
      <c r="AV11" s="91"/>
      <c r="AW11" s="88"/>
      <c r="AX11" s="88"/>
      <c r="AY11" s="91"/>
      <c r="AZ11" s="89" t="s">
        <v>0</v>
      </c>
      <c r="BA11" s="89" t="s">
        <v>0</v>
      </c>
      <c r="BB11" s="88"/>
      <c r="BC11" s="88"/>
      <c r="BD11" s="88" t="s">
        <v>246</v>
      </c>
      <c r="BE11" s="88" t="s">
        <v>246</v>
      </c>
      <c r="BF11" s="88" t="s">
        <v>246</v>
      </c>
      <c r="BG11" s="88" t="s">
        <v>246</v>
      </c>
      <c r="BH11" s="91"/>
      <c r="BI11" s="93"/>
      <c r="BJ11" s="88" t="s">
        <v>0</v>
      </c>
      <c r="BK11" s="88" t="s">
        <v>0</v>
      </c>
      <c r="BL11" s="88"/>
      <c r="BM11" s="88"/>
      <c r="BN11" s="88"/>
      <c r="BO11" s="93"/>
      <c r="BP11" s="93"/>
      <c r="BQ11" s="89" t="s">
        <v>0</v>
      </c>
      <c r="BR11" s="89" t="s">
        <v>0</v>
      </c>
      <c r="BS11" s="89" t="s">
        <v>0</v>
      </c>
      <c r="BT11" s="88"/>
      <c r="BU11" s="91"/>
      <c r="BV11" s="88"/>
      <c r="BW11" s="88"/>
      <c r="BX11" s="88"/>
      <c r="BY11" s="88"/>
      <c r="BZ11" s="89"/>
      <c r="CA11" s="88"/>
      <c r="CB11" s="88"/>
      <c r="CC11" s="88"/>
      <c r="CD11" s="88"/>
      <c r="CE11" s="88"/>
      <c r="CF11" s="88"/>
      <c r="CG11" s="89"/>
      <c r="CH11" s="89"/>
      <c r="CI11" s="88"/>
      <c r="CJ11" s="88"/>
      <c r="CK11" s="89"/>
      <c r="CL11" s="89"/>
      <c r="CM11" s="89"/>
      <c r="CN11" s="89"/>
      <c r="CO11" s="88"/>
      <c r="CP11" s="88"/>
      <c r="CQ11" s="89"/>
      <c r="CR11" s="88"/>
      <c r="CS11" s="88" t="s">
        <v>217</v>
      </c>
      <c r="CT11" s="88"/>
      <c r="CU11" s="88"/>
      <c r="CV11" s="88"/>
      <c r="CW11" s="88"/>
      <c r="CX11" s="88"/>
      <c r="CY11" s="94"/>
      <c r="CZ11" s="94"/>
      <c r="DA11" s="94"/>
      <c r="DB11" s="94"/>
      <c r="DC11" s="94"/>
      <c r="DD11" s="94"/>
    </row>
    <row r="12" spans="1:108">
      <c r="A12" s="54">
        <v>0</v>
      </c>
      <c r="B12" s="95" t="s">
        <v>206</v>
      </c>
      <c r="C12" s="95">
        <v>0.15469999999999998</v>
      </c>
      <c r="D12" s="96">
        <v>1.6149999999999999E-3</v>
      </c>
      <c r="E12" s="96">
        <v>2.0799999999999998E-3</v>
      </c>
      <c r="F12" s="95">
        <v>1.794E-3</v>
      </c>
      <c r="G12" s="95">
        <v>2.3110000000000001E-3</v>
      </c>
      <c r="H12" s="95">
        <v>3.2100000000000002E-3</v>
      </c>
      <c r="I12" s="95">
        <v>4.0400000000000002E-3</v>
      </c>
      <c r="J12" s="95"/>
      <c r="K12" s="95" t="s">
        <v>206</v>
      </c>
      <c r="L12" s="95" t="s">
        <v>206</v>
      </c>
      <c r="M12" s="95"/>
      <c r="N12" s="95">
        <v>1.835E-3</v>
      </c>
      <c r="O12" s="95"/>
      <c r="P12" s="95">
        <v>2.6900000000000001E-3</v>
      </c>
      <c r="Q12" s="97">
        <v>1.2800000000000001E-3</v>
      </c>
      <c r="R12" s="97">
        <v>2.7399999999999998E-3</v>
      </c>
      <c r="S12" s="97">
        <v>3.8000000000000002E-4</v>
      </c>
      <c r="T12" s="97">
        <v>2E-3</v>
      </c>
      <c r="U12" s="98">
        <v>4.1510000000000001E-4</v>
      </c>
      <c r="V12" s="99">
        <v>3.9110000000000002E-4</v>
      </c>
      <c r="W12" s="98">
        <v>3.4380000000000001E-4</v>
      </c>
      <c r="X12" s="99">
        <v>3.3720000000000001E-4</v>
      </c>
      <c r="Y12" s="100">
        <v>3.5452530000000001E-4</v>
      </c>
      <c r="Z12" s="100">
        <v>3.7079749999999997E-4</v>
      </c>
      <c r="AA12" s="100">
        <v>2.9260240000000002E-4</v>
      </c>
      <c r="AB12" s="100">
        <v>3.5267300000000002E-4</v>
      </c>
      <c r="AC12" s="95">
        <v>8.3199999999999993E-3</v>
      </c>
      <c r="AD12" s="95">
        <v>2.2579999999999999E-2</v>
      </c>
      <c r="AE12" s="95">
        <v>7.0800000000000004E-3</v>
      </c>
      <c r="AF12" s="95">
        <v>3.9420999999999996E-3</v>
      </c>
      <c r="AG12" s="95">
        <v>6.1999999999999998E-3</v>
      </c>
      <c r="AH12" s="95">
        <v>4.4295000000000003E-3</v>
      </c>
      <c r="AI12" s="95">
        <v>7.0800000000000004E-3</v>
      </c>
      <c r="AJ12" s="95">
        <v>5.4799999999999996E-3</v>
      </c>
      <c r="AK12" s="95">
        <v>6.3299999999999997E-3</v>
      </c>
      <c r="AL12" s="95">
        <v>4.1799999999999997E-3</v>
      </c>
      <c r="AM12" s="97"/>
      <c r="AN12" s="95">
        <v>2.2190000000000001E-3</v>
      </c>
      <c r="AO12" s="95">
        <v>3.2550000000000001E-3</v>
      </c>
      <c r="AP12" s="101"/>
      <c r="AQ12" s="101"/>
      <c r="AR12" s="101"/>
      <c r="AS12" s="101"/>
      <c r="AT12" s="101"/>
      <c r="AU12" s="101"/>
      <c r="AV12" s="95"/>
      <c r="AW12" s="95"/>
      <c r="AX12" s="95" t="s">
        <v>206</v>
      </c>
      <c r="AY12" s="95"/>
      <c r="AZ12" s="101"/>
      <c r="BA12" s="101"/>
      <c r="BB12" s="95"/>
      <c r="BC12" s="95"/>
      <c r="BD12" s="95">
        <v>2.4890523790896988E-2</v>
      </c>
      <c r="BE12" s="95">
        <v>2.4035812168034899E-2</v>
      </c>
      <c r="BF12" s="95">
        <v>2.3295182985051798E-2</v>
      </c>
      <c r="BG12" s="101">
        <v>2.2467290718881414E-2</v>
      </c>
      <c r="BH12" s="95"/>
      <c r="BI12" s="101">
        <v>3.6020000000000003E-2</v>
      </c>
      <c r="BJ12" s="95"/>
      <c r="BK12" s="95"/>
      <c r="BL12" s="95"/>
      <c r="BM12" s="102">
        <v>1.2949999999999999E-3</v>
      </c>
      <c r="BN12" s="95"/>
      <c r="BO12" s="101"/>
      <c r="BP12" s="101"/>
      <c r="BQ12" s="101"/>
      <c r="BR12" s="101"/>
      <c r="BS12" s="101"/>
      <c r="BT12" s="95"/>
      <c r="BU12" s="95"/>
      <c r="BV12" s="97">
        <v>0</v>
      </c>
      <c r="BW12" s="97"/>
      <c r="BX12" s="97">
        <v>0.46200000000000002</v>
      </c>
      <c r="BY12" s="97">
        <v>0</v>
      </c>
      <c r="BZ12" s="96"/>
      <c r="CA12" s="97"/>
      <c r="CB12" s="97"/>
      <c r="CC12" s="97"/>
      <c r="CD12" s="97"/>
      <c r="CE12" s="97"/>
      <c r="CF12" s="97">
        <v>0</v>
      </c>
      <c r="CG12" s="96"/>
      <c r="CH12" s="96"/>
      <c r="CI12" s="95">
        <v>0</v>
      </c>
      <c r="CJ12" s="95" t="s">
        <v>206</v>
      </c>
      <c r="CK12" s="101">
        <v>7.1000000000000004E-3</v>
      </c>
      <c r="CL12" s="96"/>
      <c r="CM12" s="101"/>
      <c r="CN12" s="101"/>
      <c r="CO12" s="95">
        <v>0</v>
      </c>
      <c r="CP12" s="95"/>
      <c r="CQ12" s="101"/>
      <c r="CR12" s="95"/>
      <c r="CS12" s="95">
        <v>0</v>
      </c>
      <c r="CT12" s="95"/>
      <c r="CU12" s="95"/>
      <c r="CV12" s="95"/>
      <c r="CW12" s="95">
        <v>0</v>
      </c>
      <c r="CX12" s="95"/>
      <c r="CY12" s="103"/>
      <c r="CZ12" s="103"/>
      <c r="DA12" s="103"/>
      <c r="DB12" s="103"/>
      <c r="DC12" s="103"/>
      <c r="DD12" s="103"/>
    </row>
    <row r="13" spans="1:108">
      <c r="A13" s="54">
        <v>1</v>
      </c>
      <c r="B13" s="95" t="s">
        <v>206</v>
      </c>
      <c r="C13" s="95">
        <v>6.3490000000000005E-2</v>
      </c>
      <c r="D13" s="96">
        <v>6.8000000000000005E-4</v>
      </c>
      <c r="E13" s="96">
        <v>8.1499999999999997E-4</v>
      </c>
      <c r="F13" s="95">
        <v>7.5500000000000003E-4</v>
      </c>
      <c r="G13" s="95">
        <v>9.0600000000000001E-4</v>
      </c>
      <c r="H13" s="95">
        <v>1.3600000000000001E-3</v>
      </c>
      <c r="I13" s="95">
        <v>1.58E-3</v>
      </c>
      <c r="J13" s="95"/>
      <c r="K13" s="95" t="s">
        <v>206</v>
      </c>
      <c r="L13" s="95" t="s">
        <v>206</v>
      </c>
      <c r="M13" s="95"/>
      <c r="N13" s="95">
        <v>7.7800000000000005E-4</v>
      </c>
      <c r="O13" s="95"/>
      <c r="P13" s="95">
        <v>1.0529999999999999E-3</v>
      </c>
      <c r="Q13" s="97">
        <v>4.6000000000000001E-4</v>
      </c>
      <c r="R13" s="97">
        <v>9.5E-4</v>
      </c>
      <c r="S13" s="97">
        <v>3.8000000000000002E-4</v>
      </c>
      <c r="T13" s="97">
        <v>6.8999999999999997E-4</v>
      </c>
      <c r="U13" s="98">
        <v>1.8430000000000001E-4</v>
      </c>
      <c r="V13" s="99">
        <v>2.0249999999999999E-4</v>
      </c>
      <c r="W13" s="98">
        <v>1.527E-4</v>
      </c>
      <c r="X13" s="99">
        <v>1.5679999999999999E-4</v>
      </c>
      <c r="Y13" s="100">
        <v>2.256076E-4</v>
      </c>
      <c r="Z13" s="100">
        <v>2.4208500000000001E-4</v>
      </c>
      <c r="AA13" s="100">
        <v>1.9211179999999999E-4</v>
      </c>
      <c r="AB13" s="100">
        <v>2.2638629999999999E-4</v>
      </c>
      <c r="AC13" s="95">
        <v>2.0699999999999998E-3</v>
      </c>
      <c r="AD13" s="95">
        <v>5.77E-3</v>
      </c>
      <c r="AE13" s="95">
        <v>1.7600000000000001E-3</v>
      </c>
      <c r="AF13" s="95">
        <v>1.5401E-3</v>
      </c>
      <c r="AG13" s="95">
        <v>1.67E-3</v>
      </c>
      <c r="AH13" s="95">
        <v>1.64E-3</v>
      </c>
      <c r="AI13" s="95">
        <v>1.7600000000000001E-3</v>
      </c>
      <c r="AJ13" s="95">
        <v>9.3999999999999997E-4</v>
      </c>
      <c r="AK13" s="95">
        <v>1E-3</v>
      </c>
      <c r="AL13" s="95">
        <v>1.07E-3</v>
      </c>
      <c r="AM13" s="97"/>
      <c r="AN13" s="95">
        <v>9.3999999999999997E-4</v>
      </c>
      <c r="AO13" s="95">
        <v>1.274E-3</v>
      </c>
      <c r="AP13" s="101"/>
      <c r="AQ13" s="101"/>
      <c r="AR13" s="101"/>
      <c r="AS13" s="101"/>
      <c r="AT13" s="101">
        <v>5.31E-4</v>
      </c>
      <c r="AU13" s="101">
        <v>5.9199999999999997E-4</v>
      </c>
      <c r="AV13" s="95"/>
      <c r="AW13" s="95"/>
      <c r="AX13" s="95" t="s">
        <v>206</v>
      </c>
      <c r="AY13" s="95"/>
      <c r="AZ13" s="101"/>
      <c r="BA13" s="101"/>
      <c r="BB13" s="95"/>
      <c r="BC13" s="95"/>
      <c r="BD13" s="95">
        <v>2.2920503333522372E-3</v>
      </c>
      <c r="BE13" s="95">
        <v>2.1824571296326389E-3</v>
      </c>
      <c r="BF13" s="95">
        <v>2.2912157742957908E-3</v>
      </c>
      <c r="BG13" s="101">
        <v>2.1516775877393106E-3</v>
      </c>
      <c r="BH13" s="95"/>
      <c r="BI13" s="101">
        <v>2.7490000000000001E-2</v>
      </c>
      <c r="BJ13" s="95">
        <v>5.71E-4</v>
      </c>
      <c r="BK13" s="95">
        <v>6.3699999999999998E-4</v>
      </c>
      <c r="BL13" s="95"/>
      <c r="BM13" s="102">
        <v>1.2949999999999999E-3</v>
      </c>
      <c r="BN13" s="95"/>
      <c r="BO13" s="101"/>
      <c r="BP13" s="101"/>
      <c r="BQ13" s="101"/>
      <c r="BR13" s="101">
        <v>5.71E-4</v>
      </c>
      <c r="BS13" s="101">
        <v>6.3699999999999998E-4</v>
      </c>
      <c r="BT13" s="95"/>
      <c r="BU13" s="95"/>
      <c r="BV13" s="97">
        <v>0</v>
      </c>
      <c r="BW13" s="97"/>
      <c r="BX13" s="97">
        <v>0.44900000000000001</v>
      </c>
      <c r="BY13" s="97">
        <v>0</v>
      </c>
      <c r="BZ13" s="96"/>
      <c r="CA13" s="97"/>
      <c r="CB13" s="97"/>
      <c r="CC13" s="97"/>
      <c r="CD13" s="97"/>
      <c r="CE13" s="97"/>
      <c r="CF13" s="97">
        <v>0</v>
      </c>
      <c r="CG13" s="96"/>
      <c r="CH13" s="96"/>
      <c r="CI13" s="95">
        <v>0</v>
      </c>
      <c r="CJ13" s="95" t="s">
        <v>206</v>
      </c>
      <c r="CK13" s="101">
        <v>6.8700000000000002E-3</v>
      </c>
      <c r="CL13" s="96"/>
      <c r="CM13" s="101"/>
      <c r="CN13" s="101"/>
      <c r="CO13" s="95">
        <v>0</v>
      </c>
      <c r="CP13" s="95"/>
      <c r="CQ13" s="101"/>
      <c r="CR13" s="95"/>
      <c r="CS13" s="95">
        <v>0</v>
      </c>
      <c r="CT13" s="95"/>
      <c r="CU13" s="95"/>
      <c r="CV13" s="95"/>
      <c r="CW13" s="95">
        <v>0</v>
      </c>
      <c r="CX13" s="95"/>
      <c r="CY13" s="103"/>
      <c r="CZ13" s="103"/>
      <c r="DA13" s="103"/>
      <c r="DB13" s="103"/>
      <c r="DC13" s="103"/>
      <c r="DD13" s="103"/>
    </row>
    <row r="14" spans="1:108">
      <c r="A14" s="54">
        <v>2</v>
      </c>
      <c r="B14" s="95" t="s">
        <v>206</v>
      </c>
      <c r="C14" s="95">
        <v>3.5499999999999997E-2</v>
      </c>
      <c r="D14" s="96">
        <v>3.5300000000000002E-4</v>
      </c>
      <c r="E14" s="96">
        <v>4.5399999999999998E-4</v>
      </c>
      <c r="F14" s="95">
        <v>3.9199999999999999E-4</v>
      </c>
      <c r="G14" s="95">
        <v>5.04E-4</v>
      </c>
      <c r="H14" s="95">
        <v>7.0299999999999996E-4</v>
      </c>
      <c r="I14" s="95">
        <v>8.8699999999999998E-4</v>
      </c>
      <c r="J14" s="95"/>
      <c r="K14" s="95" t="s">
        <v>206</v>
      </c>
      <c r="L14" s="95" t="s">
        <v>206</v>
      </c>
      <c r="M14" s="95"/>
      <c r="N14" s="95">
        <v>4.0200000000000001E-4</v>
      </c>
      <c r="O14" s="95"/>
      <c r="P14" s="95">
        <v>5.9100000000000005E-4</v>
      </c>
      <c r="Q14" s="97">
        <v>2.5000000000000001E-4</v>
      </c>
      <c r="R14" s="97">
        <v>4.8000000000000001E-4</v>
      </c>
      <c r="S14" s="97">
        <v>2.0000000000000001E-4</v>
      </c>
      <c r="T14" s="97">
        <v>3.5E-4</v>
      </c>
      <c r="U14" s="98">
        <v>1.048E-4</v>
      </c>
      <c r="V14" s="99">
        <v>1.35E-4</v>
      </c>
      <c r="W14" s="98">
        <v>1.159E-4</v>
      </c>
      <c r="X14" s="99">
        <v>9.4099999999999997E-5</v>
      </c>
      <c r="Y14" s="100">
        <v>1.953352E-4</v>
      </c>
      <c r="Z14" s="100">
        <v>2.1291990000000001E-4</v>
      </c>
      <c r="AA14" s="100">
        <v>1.545556E-4</v>
      </c>
      <c r="AB14" s="100">
        <v>1.963496E-4</v>
      </c>
      <c r="AC14" s="95">
        <v>1.7899999999999999E-3</v>
      </c>
      <c r="AD14" s="95">
        <v>4.1399999999999996E-3</v>
      </c>
      <c r="AE14" s="95">
        <v>1.5200000000000001E-3</v>
      </c>
      <c r="AF14" s="95">
        <v>1.3801E-3</v>
      </c>
      <c r="AG14" s="95">
        <v>1.41E-3</v>
      </c>
      <c r="AH14" s="95">
        <v>1.4901000000000001E-3</v>
      </c>
      <c r="AI14" s="95">
        <v>1.5200000000000001E-3</v>
      </c>
      <c r="AJ14" s="95">
        <v>6.7000000000000002E-4</v>
      </c>
      <c r="AK14" s="95">
        <v>7.5000000000000002E-4</v>
      </c>
      <c r="AL14" s="95">
        <v>9.8999999999999999E-4</v>
      </c>
      <c r="AM14" s="97"/>
      <c r="AN14" s="95">
        <v>4.86E-4</v>
      </c>
      <c r="AO14" s="95">
        <v>7.1500000000000003E-4</v>
      </c>
      <c r="AP14" s="101"/>
      <c r="AQ14" s="101"/>
      <c r="AR14" s="101"/>
      <c r="AS14" s="101"/>
      <c r="AT14" s="101">
        <v>3.4600000000000001E-4</v>
      </c>
      <c r="AU14" s="101">
        <v>4.0000000000000002E-4</v>
      </c>
      <c r="AV14" s="95"/>
      <c r="AW14" s="95"/>
      <c r="AX14" s="95" t="s">
        <v>206</v>
      </c>
      <c r="AY14" s="95"/>
      <c r="AZ14" s="101"/>
      <c r="BA14" s="101"/>
      <c r="BB14" s="95"/>
      <c r="BC14" s="95"/>
      <c r="BD14" s="95">
        <v>1.2549542818331165E-3</v>
      </c>
      <c r="BE14" s="95">
        <v>1.1980618758082658E-3</v>
      </c>
      <c r="BF14" s="95">
        <v>1.1878852345858274E-3</v>
      </c>
      <c r="BG14" s="101">
        <v>1.1324163461196377E-3</v>
      </c>
      <c r="BH14" s="95"/>
      <c r="BI14" s="101">
        <v>2.085E-2</v>
      </c>
      <c r="BJ14" s="95">
        <v>3.7199999999999999E-4</v>
      </c>
      <c r="BK14" s="95">
        <v>4.2999999999999999E-4</v>
      </c>
      <c r="BL14" s="95"/>
      <c r="BM14" s="102">
        <v>1.2949999999999999E-3</v>
      </c>
      <c r="BN14" s="95"/>
      <c r="BO14" s="101"/>
      <c r="BP14" s="101"/>
      <c r="BQ14" s="101"/>
      <c r="BR14" s="101">
        <v>3.7199999999999999E-4</v>
      </c>
      <c r="BS14" s="101">
        <v>4.2999999999999999E-4</v>
      </c>
      <c r="BT14" s="95"/>
      <c r="BU14" s="95"/>
      <c r="BV14" s="97">
        <v>0</v>
      </c>
      <c r="BW14" s="97"/>
      <c r="BX14" s="97">
        <v>0.436</v>
      </c>
      <c r="BY14" s="97">
        <v>0</v>
      </c>
      <c r="BZ14" s="96"/>
      <c r="CA14" s="97"/>
      <c r="CB14" s="97"/>
      <c r="CC14" s="97"/>
      <c r="CD14" s="97"/>
      <c r="CE14" s="97"/>
      <c r="CF14" s="97">
        <v>0</v>
      </c>
      <c r="CG14" s="96"/>
      <c r="CH14" s="96"/>
      <c r="CI14" s="95">
        <v>0</v>
      </c>
      <c r="CJ14" s="95" t="s">
        <v>206</v>
      </c>
      <c r="CK14" s="101">
        <v>6.6499999999999997E-3</v>
      </c>
      <c r="CL14" s="96"/>
      <c r="CM14" s="101"/>
      <c r="CN14" s="101"/>
      <c r="CO14" s="95">
        <v>0</v>
      </c>
      <c r="CP14" s="95"/>
      <c r="CQ14" s="101"/>
      <c r="CR14" s="95"/>
      <c r="CS14" s="95">
        <v>0</v>
      </c>
      <c r="CT14" s="95"/>
      <c r="CU14" s="95"/>
      <c r="CV14" s="95"/>
      <c r="CW14" s="95">
        <v>0</v>
      </c>
      <c r="CX14" s="95"/>
      <c r="CY14" s="103"/>
      <c r="CZ14" s="103"/>
      <c r="DA14" s="103"/>
      <c r="DB14" s="103"/>
      <c r="DC14" s="103"/>
      <c r="DD14" s="103"/>
    </row>
    <row r="15" spans="1:108">
      <c r="A15" s="54">
        <v>3</v>
      </c>
      <c r="B15" s="95" t="s">
        <v>206</v>
      </c>
      <c r="C15" s="95">
        <v>2.3910000000000001E-2</v>
      </c>
      <c r="D15" s="96">
        <v>2.61E-4</v>
      </c>
      <c r="E15" s="96">
        <v>3.6699999999999998E-4</v>
      </c>
      <c r="F15" s="95">
        <v>2.9E-4</v>
      </c>
      <c r="G15" s="95">
        <v>4.08E-4</v>
      </c>
      <c r="H15" s="95">
        <v>5.2099999999999998E-4</v>
      </c>
      <c r="I15" s="95">
        <v>7.1500000000000003E-4</v>
      </c>
      <c r="J15" s="95"/>
      <c r="K15" s="95" t="s">
        <v>206</v>
      </c>
      <c r="L15" s="95" t="s">
        <v>206</v>
      </c>
      <c r="M15" s="95"/>
      <c r="N15" s="95">
        <v>2.9799999999999998E-4</v>
      </c>
      <c r="O15" s="95"/>
      <c r="P15" s="95">
        <v>4.7600000000000002E-4</v>
      </c>
      <c r="Q15" s="97">
        <v>1.6000000000000001E-4</v>
      </c>
      <c r="R15" s="97">
        <v>2.9999999999999997E-4</v>
      </c>
      <c r="S15" s="97">
        <v>1.2999999999999999E-4</v>
      </c>
      <c r="T15" s="97">
        <v>2.2000000000000001E-4</v>
      </c>
      <c r="U15" s="98">
        <v>7.3200000000000004E-5</v>
      </c>
      <c r="V15" s="99">
        <v>1.0679999999999999E-4</v>
      </c>
      <c r="W15" s="98">
        <v>7.9099999999999998E-5</v>
      </c>
      <c r="X15" s="99">
        <v>6.8800000000000005E-5</v>
      </c>
      <c r="Y15" s="100">
        <v>1.8013999999999999E-4</v>
      </c>
      <c r="Z15" s="100">
        <v>1.9911310000000001E-4</v>
      </c>
      <c r="AA15" s="100">
        <v>1.3420110000000001E-4</v>
      </c>
      <c r="AB15" s="100">
        <v>1.813874E-4</v>
      </c>
      <c r="AC15" s="95">
        <v>1.72E-3</v>
      </c>
      <c r="AD15" s="95">
        <v>3.3800000000000002E-3</v>
      </c>
      <c r="AE15" s="95">
        <v>1.4599999999999999E-3</v>
      </c>
      <c r="AF15" s="95">
        <v>1.32E-3</v>
      </c>
      <c r="AG15" s="95">
        <v>1.3500000000000001E-3</v>
      </c>
      <c r="AH15" s="95">
        <v>1.4300000000000001E-3</v>
      </c>
      <c r="AI15" s="95">
        <v>1.4599999999999999E-3</v>
      </c>
      <c r="AJ15" s="95">
        <v>5.9999999999999995E-4</v>
      </c>
      <c r="AK15" s="95">
        <v>6.8000000000000005E-4</v>
      </c>
      <c r="AL15" s="95">
        <v>9.7999999999999997E-4</v>
      </c>
      <c r="AM15" s="97"/>
      <c r="AN15" s="95">
        <v>3.6000000000000002E-4</v>
      </c>
      <c r="AO15" s="95">
        <v>5.7600000000000001E-4</v>
      </c>
      <c r="AP15" s="101"/>
      <c r="AQ15" s="101"/>
      <c r="AR15" s="101"/>
      <c r="AS15" s="101"/>
      <c r="AT15" s="101">
        <v>2.5799999999999998E-4</v>
      </c>
      <c r="AU15" s="101">
        <v>3.3199999999999999E-4</v>
      </c>
      <c r="AV15" s="95"/>
      <c r="AW15" s="95"/>
      <c r="AX15" s="95" t="s">
        <v>206</v>
      </c>
      <c r="AY15" s="95"/>
      <c r="AZ15" s="101"/>
      <c r="BA15" s="101"/>
      <c r="BB15" s="95"/>
      <c r="BC15" s="95"/>
      <c r="BD15" s="95">
        <v>9.2173370742718659E-4</v>
      </c>
      <c r="BE15" s="95">
        <v>8.801925650501329E-4</v>
      </c>
      <c r="BF15" s="95">
        <v>7.7836889412097007E-4</v>
      </c>
      <c r="BG15" s="101">
        <v>7.5004337447619033E-4</v>
      </c>
      <c r="BH15" s="95"/>
      <c r="BI15" s="101">
        <v>1.575E-2</v>
      </c>
      <c r="BJ15" s="95">
        <v>2.7799999999999998E-4</v>
      </c>
      <c r="BK15" s="95">
        <v>3.57E-4</v>
      </c>
      <c r="BL15" s="95"/>
      <c r="BM15" s="102">
        <v>1.2949999999999999E-3</v>
      </c>
      <c r="BN15" s="95"/>
      <c r="BO15" s="101"/>
      <c r="BP15" s="101"/>
      <c r="BQ15" s="101"/>
      <c r="BR15" s="101">
        <v>2.7799999999999998E-4</v>
      </c>
      <c r="BS15" s="101">
        <v>3.57E-4</v>
      </c>
      <c r="BT15" s="95"/>
      <c r="BU15" s="95"/>
      <c r="BV15" s="97">
        <v>0</v>
      </c>
      <c r="BW15" s="97"/>
      <c r="BX15" s="97">
        <v>0.42299999999999999</v>
      </c>
      <c r="BY15" s="97">
        <v>0</v>
      </c>
      <c r="BZ15" s="96"/>
      <c r="CA15" s="97"/>
      <c r="CB15" s="97"/>
      <c r="CC15" s="97"/>
      <c r="CD15" s="97"/>
      <c r="CE15" s="97"/>
      <c r="CF15" s="97">
        <v>0</v>
      </c>
      <c r="CG15" s="96"/>
      <c r="CH15" s="96"/>
      <c r="CI15" s="95">
        <v>0</v>
      </c>
      <c r="CJ15" s="95" t="s">
        <v>206</v>
      </c>
      <c r="CK15" s="101">
        <v>6.4400000000000004E-3</v>
      </c>
      <c r="CL15" s="96"/>
      <c r="CM15" s="101"/>
      <c r="CN15" s="101"/>
      <c r="CO15" s="95">
        <v>0</v>
      </c>
      <c r="CP15" s="95"/>
      <c r="CQ15" s="101"/>
      <c r="CR15" s="95"/>
      <c r="CS15" s="95">
        <v>0</v>
      </c>
      <c r="CT15" s="95"/>
      <c r="CU15" s="95"/>
      <c r="CV15" s="95"/>
      <c r="CW15" s="95">
        <v>0</v>
      </c>
      <c r="CX15" s="95"/>
      <c r="CY15" s="103"/>
      <c r="CZ15" s="103"/>
      <c r="DA15" s="103"/>
      <c r="DB15" s="103"/>
      <c r="DC15" s="103"/>
      <c r="DD15" s="103"/>
    </row>
    <row r="16" spans="1:108">
      <c r="A16" s="54">
        <v>4</v>
      </c>
      <c r="B16" s="95" t="s">
        <v>206</v>
      </c>
      <c r="C16" s="95">
        <v>1.77E-2</v>
      </c>
      <c r="D16" s="96">
        <v>2.0900000000000001E-4</v>
      </c>
      <c r="E16" s="96">
        <v>3.21E-4</v>
      </c>
      <c r="F16" s="95">
        <v>2.32E-4</v>
      </c>
      <c r="G16" s="95">
        <v>3.57E-4</v>
      </c>
      <c r="H16" s="95">
        <v>4.1899999999999999E-4</v>
      </c>
      <c r="I16" s="95">
        <v>6.2699999999999995E-4</v>
      </c>
      <c r="J16" s="95"/>
      <c r="K16" s="95" t="s">
        <v>206</v>
      </c>
      <c r="L16" s="95" t="s">
        <v>206</v>
      </c>
      <c r="M16" s="95"/>
      <c r="N16" s="95">
        <v>2.4000000000000001E-4</v>
      </c>
      <c r="O16" s="95"/>
      <c r="P16" s="95">
        <v>4.17E-4</v>
      </c>
      <c r="Q16" s="97">
        <v>1.2E-4</v>
      </c>
      <c r="R16" s="97">
        <v>2.2000000000000001E-4</v>
      </c>
      <c r="S16" s="97">
        <v>1E-4</v>
      </c>
      <c r="T16" s="97">
        <v>1.6000000000000001E-4</v>
      </c>
      <c r="U16" s="98">
        <v>6.0000000000000002E-5</v>
      </c>
      <c r="V16" s="99">
        <v>9.48E-5</v>
      </c>
      <c r="W16" s="98">
        <v>5.7599999999999997E-5</v>
      </c>
      <c r="X16" s="99">
        <v>5.8199999999999998E-5</v>
      </c>
      <c r="Y16" s="100">
        <v>1.7111310000000001E-4</v>
      </c>
      <c r="Z16" s="100">
        <v>1.9161889999999999E-4</v>
      </c>
      <c r="AA16" s="100">
        <v>1.214338E-4</v>
      </c>
      <c r="AB16" s="100">
        <v>1.7268599999999999E-4</v>
      </c>
      <c r="AC16" s="95">
        <v>1.65E-3</v>
      </c>
      <c r="AD16" s="95">
        <v>2.99E-3</v>
      </c>
      <c r="AE16" s="95">
        <v>1.4E-3</v>
      </c>
      <c r="AF16" s="95">
        <v>1.2650000000000001E-3</v>
      </c>
      <c r="AG16" s="95">
        <v>1.2899999999999999E-3</v>
      </c>
      <c r="AH16" s="95">
        <v>1.3749000000000001E-3</v>
      </c>
      <c r="AI16" s="95">
        <v>1.4E-3</v>
      </c>
      <c r="AJ16" s="95">
        <v>5.2999999999999998E-4</v>
      </c>
      <c r="AK16" s="95">
        <v>6.0999999999999997E-4</v>
      </c>
      <c r="AL16" s="95">
        <v>9.5E-4</v>
      </c>
      <c r="AM16" s="97"/>
      <c r="AN16" s="95">
        <v>2.9E-4</v>
      </c>
      <c r="AO16" s="95">
        <v>5.0500000000000002E-4</v>
      </c>
      <c r="AP16" s="101"/>
      <c r="AQ16" s="101"/>
      <c r="AR16" s="101"/>
      <c r="AS16" s="101"/>
      <c r="AT16" s="101">
        <v>1.94E-4</v>
      </c>
      <c r="AU16" s="101">
        <v>2.5900000000000001E-4</v>
      </c>
      <c r="AV16" s="95"/>
      <c r="AW16" s="95"/>
      <c r="AX16" s="95" t="s">
        <v>206</v>
      </c>
      <c r="AY16" s="95"/>
      <c r="AZ16" s="101"/>
      <c r="BA16" s="101"/>
      <c r="BB16" s="95"/>
      <c r="BC16" s="95"/>
      <c r="BD16" s="95">
        <v>6.9939758028206333E-4</v>
      </c>
      <c r="BE16" s="95">
        <v>6.5864350514014162E-4</v>
      </c>
      <c r="BF16" s="95">
        <v>5.6765692433752898E-4</v>
      </c>
      <c r="BG16" s="101">
        <v>5.5168134188304915E-4</v>
      </c>
      <c r="BH16" s="95"/>
      <c r="BI16" s="101">
        <v>1.187E-2</v>
      </c>
      <c r="BJ16" s="95">
        <v>2.0799999999999999E-4</v>
      </c>
      <c r="BK16" s="95">
        <v>2.7799999999999998E-4</v>
      </c>
      <c r="BL16" s="95"/>
      <c r="BM16" s="102">
        <v>1.2949999999999999E-3</v>
      </c>
      <c r="BN16" s="95"/>
      <c r="BO16" s="101"/>
      <c r="BP16" s="101"/>
      <c r="BQ16" s="101"/>
      <c r="BR16" s="101">
        <v>2.0799999999999999E-4</v>
      </c>
      <c r="BS16" s="101">
        <v>2.7799999999999998E-4</v>
      </c>
      <c r="BT16" s="95"/>
      <c r="BU16" s="95"/>
      <c r="BV16" s="97">
        <v>0</v>
      </c>
      <c r="BW16" s="97"/>
      <c r="BX16" s="97">
        <v>0.41</v>
      </c>
      <c r="BY16" s="97">
        <v>0</v>
      </c>
      <c r="BZ16" s="96"/>
      <c r="CA16" s="97"/>
      <c r="CB16" s="97"/>
      <c r="CC16" s="97"/>
      <c r="CD16" s="97"/>
      <c r="CE16" s="97"/>
      <c r="CF16" s="97">
        <v>0</v>
      </c>
      <c r="CG16" s="96"/>
      <c r="CH16" s="96"/>
      <c r="CI16" s="95">
        <v>0</v>
      </c>
      <c r="CJ16" s="95" t="s">
        <v>206</v>
      </c>
      <c r="CK16" s="101">
        <v>6.2399999999999999E-3</v>
      </c>
      <c r="CL16" s="96"/>
      <c r="CM16" s="101"/>
      <c r="CN16" s="101"/>
      <c r="CO16" s="95">
        <v>0</v>
      </c>
      <c r="CP16" s="95"/>
      <c r="CQ16" s="101"/>
      <c r="CR16" s="95"/>
      <c r="CS16" s="95">
        <v>0</v>
      </c>
      <c r="CT16" s="95"/>
      <c r="CU16" s="95"/>
      <c r="CV16" s="95"/>
      <c r="CW16" s="95">
        <v>0</v>
      </c>
      <c r="CX16" s="95"/>
      <c r="CY16" s="103"/>
      <c r="CZ16" s="103"/>
      <c r="DA16" s="103"/>
      <c r="DB16" s="103"/>
      <c r="DC16" s="103"/>
      <c r="DD16" s="103"/>
    </row>
    <row r="17" spans="1:108">
      <c r="A17" s="54">
        <v>5</v>
      </c>
      <c r="B17" s="95" t="s">
        <v>206</v>
      </c>
      <c r="C17" s="95">
        <v>1.3599999999999999E-2</v>
      </c>
      <c r="D17" s="96">
        <v>1.7100000000000001E-4</v>
      </c>
      <c r="E17" s="96">
        <v>2.9100000000000003E-4</v>
      </c>
      <c r="F17" s="95">
        <v>1.8900000000000001E-4</v>
      </c>
      <c r="G17" s="95">
        <v>3.2400000000000001E-4</v>
      </c>
      <c r="H17" s="95">
        <v>3.39E-4</v>
      </c>
      <c r="I17" s="95">
        <v>5.6599999999999999E-4</v>
      </c>
      <c r="J17" s="95"/>
      <c r="K17" s="95">
        <v>3.6999999999999999E-4</v>
      </c>
      <c r="L17" s="95">
        <v>4.6000000000000001E-4</v>
      </c>
      <c r="M17" s="95">
        <v>2.1499999999999999E-4</v>
      </c>
      <c r="N17" s="95">
        <v>1.94E-4</v>
      </c>
      <c r="O17" s="95">
        <v>4.1899999999999999E-4</v>
      </c>
      <c r="P17" s="95">
        <v>3.77E-4</v>
      </c>
      <c r="Q17" s="97">
        <v>1E-4</v>
      </c>
      <c r="R17" s="97">
        <v>1.8000000000000001E-4</v>
      </c>
      <c r="S17" s="97">
        <v>8.0000000000000007E-5</v>
      </c>
      <c r="T17" s="97">
        <v>1.2999999999999999E-4</v>
      </c>
      <c r="U17" s="98">
        <v>5.5099999999999998E-5</v>
      </c>
      <c r="V17" s="99">
        <v>9.0600000000000007E-5</v>
      </c>
      <c r="W17" s="98">
        <v>4.9400000000000001E-5</v>
      </c>
      <c r="X17" s="99">
        <v>5.4299999999999998E-5</v>
      </c>
      <c r="Y17" s="100">
        <v>1.654968E-4</v>
      </c>
      <c r="Z17" s="100">
        <v>1.8766989999999999E-4</v>
      </c>
      <c r="AA17" s="100">
        <v>1.131862E-4</v>
      </c>
      <c r="AB17" s="100">
        <v>1.673759E-4</v>
      </c>
      <c r="AC17" s="95">
        <v>1.5900000000000001E-3</v>
      </c>
      <c r="AD17" s="95">
        <v>2.7599999999999999E-3</v>
      </c>
      <c r="AE17" s="95">
        <v>1.3500000000000001E-3</v>
      </c>
      <c r="AF17" s="95">
        <v>1.2149999999999999E-3</v>
      </c>
      <c r="AG17" s="95">
        <v>1.24E-3</v>
      </c>
      <c r="AH17" s="95">
        <v>1.325E-3</v>
      </c>
      <c r="AI17" s="95">
        <v>1.3500000000000001E-3</v>
      </c>
      <c r="AJ17" s="95">
        <v>4.6999999999999999E-4</v>
      </c>
      <c r="AK17" s="95">
        <v>5.5000000000000003E-4</v>
      </c>
      <c r="AL17" s="95">
        <v>8.9999999999999998E-4</v>
      </c>
      <c r="AM17" s="97"/>
      <c r="AN17" s="95">
        <v>2.34E-4</v>
      </c>
      <c r="AO17" s="95">
        <v>4.5600000000000003E-4</v>
      </c>
      <c r="AP17" s="101">
        <v>1.7100000000000001E-4</v>
      </c>
      <c r="AQ17" s="101">
        <v>1.9000000000000001E-4</v>
      </c>
      <c r="AR17" s="101">
        <v>3.8000000000000002E-4</v>
      </c>
      <c r="AS17" s="101">
        <v>3.4200000000000002E-4</v>
      </c>
      <c r="AT17" s="101">
        <v>1.75E-4</v>
      </c>
      <c r="AU17" s="101">
        <v>2.3699999999999999E-4</v>
      </c>
      <c r="AV17" s="95"/>
      <c r="AW17" s="95"/>
      <c r="AX17" s="95" t="s">
        <v>206</v>
      </c>
      <c r="AY17" s="95"/>
      <c r="AZ17" s="101"/>
      <c r="BA17" s="101"/>
      <c r="BB17" s="95"/>
      <c r="BC17" s="95"/>
      <c r="BD17" s="95">
        <v>4.7932797489502841E-4</v>
      </c>
      <c r="BE17" s="95">
        <v>4.6862404266967292E-4</v>
      </c>
      <c r="BF17" s="95">
        <v>4.4164724365265413E-4</v>
      </c>
      <c r="BG17" s="101">
        <v>4.3222350735154215E-4</v>
      </c>
      <c r="BH17" s="95"/>
      <c r="BI17" s="101">
        <v>8.9700000000000005E-3</v>
      </c>
      <c r="BJ17" s="95">
        <v>1.8799999999999999E-4</v>
      </c>
      <c r="BK17" s="95">
        <v>2.5500000000000002E-4</v>
      </c>
      <c r="BL17" s="95"/>
      <c r="BM17" s="102">
        <v>1.2949999999999999E-3</v>
      </c>
      <c r="BN17" s="95"/>
      <c r="BO17" s="101"/>
      <c r="BP17" s="101"/>
      <c r="BQ17" s="101"/>
      <c r="BR17" s="101">
        <v>1.8799999999999999E-4</v>
      </c>
      <c r="BS17" s="101">
        <v>2.5500000000000002E-4</v>
      </c>
      <c r="BT17" s="95"/>
      <c r="BU17" s="95"/>
      <c r="BV17" s="97">
        <v>0</v>
      </c>
      <c r="BW17" s="97"/>
      <c r="BX17" s="97">
        <v>0.39700000000000002</v>
      </c>
      <c r="BY17" s="97">
        <v>0</v>
      </c>
      <c r="BZ17" s="96"/>
      <c r="CA17" s="97"/>
      <c r="CB17" s="97"/>
      <c r="CC17" s="97"/>
      <c r="CD17" s="97"/>
      <c r="CE17" s="97"/>
      <c r="CF17" s="97">
        <v>0</v>
      </c>
      <c r="CG17" s="96"/>
      <c r="CH17" s="96"/>
      <c r="CI17" s="95">
        <v>0</v>
      </c>
      <c r="CJ17" s="95" t="s">
        <v>206</v>
      </c>
      <c r="CK17" s="101">
        <v>6.0499999999999998E-3</v>
      </c>
      <c r="CL17" s="96"/>
      <c r="CM17" s="101"/>
      <c r="CN17" s="101"/>
      <c r="CO17" s="95">
        <v>0</v>
      </c>
      <c r="CP17" s="95"/>
      <c r="CQ17" s="101"/>
      <c r="CR17" s="95"/>
      <c r="CS17" s="95">
        <v>0</v>
      </c>
      <c r="CT17" s="95"/>
      <c r="CU17" s="95"/>
      <c r="CV17" s="95"/>
      <c r="CW17" s="95">
        <v>0</v>
      </c>
      <c r="CX17" s="95"/>
      <c r="CY17" s="103"/>
      <c r="CZ17" s="103"/>
      <c r="DA17" s="103"/>
      <c r="DB17" s="103"/>
      <c r="DC17" s="103"/>
      <c r="DD17" s="103"/>
    </row>
    <row r="18" spans="1:108">
      <c r="A18" s="54">
        <v>6</v>
      </c>
      <c r="B18" s="95" t="s">
        <v>206</v>
      </c>
      <c r="C18" s="95">
        <v>1.137E-2</v>
      </c>
      <c r="D18" s="96">
        <v>1.4100000000000001E-4</v>
      </c>
      <c r="E18" s="96">
        <v>2.7E-4</v>
      </c>
      <c r="F18" s="95">
        <v>1.56E-4</v>
      </c>
      <c r="G18" s="95">
        <v>3.01E-4</v>
      </c>
      <c r="H18" s="95">
        <v>2.7799999999999998E-4</v>
      </c>
      <c r="I18" s="95">
        <v>5.2599999999999999E-4</v>
      </c>
      <c r="J18" s="95"/>
      <c r="K18" s="95">
        <v>3.8000000000000002E-4</v>
      </c>
      <c r="L18" s="95">
        <v>4.1999999999999996E-4</v>
      </c>
      <c r="M18" s="95">
        <v>1.7799999999999999E-4</v>
      </c>
      <c r="N18" s="95">
        <v>1.6000000000000001E-4</v>
      </c>
      <c r="O18" s="95">
        <v>3.8900000000000002E-4</v>
      </c>
      <c r="P18" s="95">
        <v>3.5E-4</v>
      </c>
      <c r="Q18" s="97">
        <v>9.0000000000000006E-5</v>
      </c>
      <c r="R18" s="97">
        <v>1.6000000000000001E-4</v>
      </c>
      <c r="S18" s="97">
        <v>6.9999999999999994E-5</v>
      </c>
      <c r="T18" s="97">
        <v>1.2E-4</v>
      </c>
      <c r="U18" s="98">
        <v>5.4299999999999998E-5</v>
      </c>
      <c r="V18" s="99">
        <v>9.09E-5</v>
      </c>
      <c r="W18" s="98">
        <v>4.71E-5</v>
      </c>
      <c r="X18" s="99">
        <v>5.3900000000000002E-5</v>
      </c>
      <c r="Y18" s="100">
        <v>1.6216390000000001E-4</v>
      </c>
      <c r="Z18" s="100">
        <v>1.8619280000000001E-4</v>
      </c>
      <c r="AA18" s="100">
        <v>1.0876770000000001E-4</v>
      </c>
      <c r="AB18" s="100">
        <v>1.6416250000000001E-4</v>
      </c>
      <c r="AC18" s="95">
        <v>1.5299999999999999E-3</v>
      </c>
      <c r="AD18" s="95">
        <v>2.6099999999999999E-3</v>
      </c>
      <c r="AE18" s="95">
        <v>1.2999999999999999E-3</v>
      </c>
      <c r="AF18" s="95">
        <v>1.17E-3</v>
      </c>
      <c r="AG18" s="95">
        <v>1.1900000000000001E-3</v>
      </c>
      <c r="AH18" s="95">
        <v>1.2800999999999999E-3</v>
      </c>
      <c r="AI18" s="95">
        <v>1.2999999999999999E-3</v>
      </c>
      <c r="AJ18" s="95">
        <v>4.0999999999999999E-4</v>
      </c>
      <c r="AK18" s="95">
        <v>4.8999999999999998E-4</v>
      </c>
      <c r="AL18" s="95">
        <v>8.5999999999999998E-4</v>
      </c>
      <c r="AM18" s="97"/>
      <c r="AN18" s="95">
        <v>1.93E-4</v>
      </c>
      <c r="AO18" s="95">
        <v>4.2400000000000001E-4</v>
      </c>
      <c r="AP18" s="101">
        <v>1.3999999999999999E-4</v>
      </c>
      <c r="AQ18" s="101">
        <v>1.56E-4</v>
      </c>
      <c r="AR18" s="101">
        <v>3.5300000000000002E-4</v>
      </c>
      <c r="AS18" s="101">
        <v>3.1799999999999998E-4</v>
      </c>
      <c r="AT18" s="101">
        <v>1.63E-4</v>
      </c>
      <c r="AU18" s="101">
        <v>2.2699999999999999E-4</v>
      </c>
      <c r="AV18" s="95"/>
      <c r="AW18" s="95"/>
      <c r="AX18" s="95" t="s">
        <v>206</v>
      </c>
      <c r="AY18" s="95"/>
      <c r="AZ18" s="101"/>
      <c r="BA18" s="101"/>
      <c r="BB18" s="95"/>
      <c r="BC18" s="95"/>
      <c r="BD18" s="95">
        <v>3.8549983176088145E-4</v>
      </c>
      <c r="BE18" s="95">
        <v>3.7213134877371037E-4</v>
      </c>
      <c r="BF18" s="95">
        <v>3.6011020081680532E-4</v>
      </c>
      <c r="BG18" s="101">
        <v>3.5439934989636484E-4</v>
      </c>
      <c r="BH18" s="95"/>
      <c r="BI18" s="101">
        <v>6.8700000000000002E-3</v>
      </c>
      <c r="BJ18" s="95">
        <v>1.76E-4</v>
      </c>
      <c r="BK18" s="95">
        <v>2.4399999999999999E-4</v>
      </c>
      <c r="BL18" s="95"/>
      <c r="BM18" s="102">
        <v>1.2949999999999999E-3</v>
      </c>
      <c r="BN18" s="95"/>
      <c r="BO18" s="101"/>
      <c r="BP18" s="101"/>
      <c r="BQ18" s="101"/>
      <c r="BR18" s="101">
        <v>1.76E-4</v>
      </c>
      <c r="BS18" s="101">
        <v>2.4399999999999999E-4</v>
      </c>
      <c r="BT18" s="95"/>
      <c r="BU18" s="95"/>
      <c r="BV18" s="97">
        <v>0</v>
      </c>
      <c r="BW18" s="97"/>
      <c r="BX18" s="97">
        <v>0.38400000000000001</v>
      </c>
      <c r="BY18" s="97">
        <v>0</v>
      </c>
      <c r="BZ18" s="96"/>
      <c r="CA18" s="97"/>
      <c r="CB18" s="97"/>
      <c r="CC18" s="97"/>
      <c r="CD18" s="97"/>
      <c r="CE18" s="97"/>
      <c r="CF18" s="97">
        <v>0</v>
      </c>
      <c r="CG18" s="96"/>
      <c r="CH18" s="96"/>
      <c r="CI18" s="95">
        <v>0</v>
      </c>
      <c r="CJ18" s="95" t="s">
        <v>206</v>
      </c>
      <c r="CK18" s="101">
        <v>5.8700000000000002E-3</v>
      </c>
      <c r="CL18" s="96"/>
      <c r="CM18" s="101"/>
      <c r="CN18" s="101"/>
      <c r="CO18" s="95">
        <v>0</v>
      </c>
      <c r="CP18" s="95"/>
      <c r="CQ18" s="101"/>
      <c r="CR18" s="95"/>
      <c r="CS18" s="95">
        <v>0</v>
      </c>
      <c r="CT18" s="95"/>
      <c r="CU18" s="95"/>
      <c r="CV18" s="95"/>
      <c r="CW18" s="95">
        <v>0</v>
      </c>
      <c r="CX18" s="95"/>
      <c r="CY18" s="103"/>
      <c r="CZ18" s="103"/>
      <c r="DA18" s="103"/>
      <c r="DB18" s="103"/>
      <c r="DC18" s="103"/>
      <c r="DD18" s="103"/>
    </row>
    <row r="19" spans="1:108">
      <c r="A19" s="54">
        <v>7</v>
      </c>
      <c r="B19" s="95" t="s">
        <v>206</v>
      </c>
      <c r="C19" s="95">
        <v>9.75E-3</v>
      </c>
      <c r="D19" s="96">
        <v>1.18E-4</v>
      </c>
      <c r="E19" s="96">
        <v>2.5700000000000001E-4</v>
      </c>
      <c r="F19" s="95">
        <v>1.3100000000000001E-4</v>
      </c>
      <c r="G19" s="95">
        <v>2.8600000000000001E-4</v>
      </c>
      <c r="H19" s="95">
        <v>2.34E-4</v>
      </c>
      <c r="I19" s="95">
        <v>5.0000000000000001E-4</v>
      </c>
      <c r="J19" s="95"/>
      <c r="K19" s="95">
        <v>3.8999999999999999E-4</v>
      </c>
      <c r="L19" s="95">
        <v>4.0000000000000002E-4</v>
      </c>
      <c r="M19" s="95">
        <v>1.4899999999999999E-4</v>
      </c>
      <c r="N19" s="95">
        <v>1.34E-4</v>
      </c>
      <c r="O19" s="95">
        <v>3.6999999999999999E-4</v>
      </c>
      <c r="P19" s="95">
        <v>3.3300000000000002E-4</v>
      </c>
      <c r="Q19" s="97">
        <v>9.0000000000000006E-5</v>
      </c>
      <c r="R19" s="97">
        <v>1.4999999999999999E-4</v>
      </c>
      <c r="S19" s="97">
        <v>6.9999999999999994E-5</v>
      </c>
      <c r="T19" s="97">
        <v>1.1E-4</v>
      </c>
      <c r="U19" s="98">
        <v>5.5800000000000001E-5</v>
      </c>
      <c r="V19" s="99">
        <v>9.3800000000000003E-5</v>
      </c>
      <c r="W19" s="98">
        <v>4.7500000000000003E-5</v>
      </c>
      <c r="X19" s="99">
        <v>5.5500000000000001E-5</v>
      </c>
      <c r="Y19" s="100">
        <v>1.608317E-4</v>
      </c>
      <c r="Z19" s="100">
        <v>1.8666949999999999E-4</v>
      </c>
      <c r="AA19" s="100">
        <v>1.0897889999999999E-4</v>
      </c>
      <c r="AB19" s="100">
        <v>1.629112E-4</v>
      </c>
      <c r="AC19" s="95">
        <v>1.48E-3</v>
      </c>
      <c r="AD19" s="95">
        <v>2.47E-3</v>
      </c>
      <c r="AE19" s="95">
        <v>1.2600000000000001E-3</v>
      </c>
      <c r="AF19" s="95">
        <v>1.1349999999999999E-3</v>
      </c>
      <c r="AG19" s="95">
        <v>1.15E-3</v>
      </c>
      <c r="AH19" s="95">
        <v>1.245E-3</v>
      </c>
      <c r="AI19" s="95">
        <v>1.2600000000000001E-3</v>
      </c>
      <c r="AJ19" s="95">
        <v>3.6000000000000002E-4</v>
      </c>
      <c r="AK19" s="95">
        <v>4.4000000000000002E-4</v>
      </c>
      <c r="AL19" s="95">
        <v>8.0000000000000004E-4</v>
      </c>
      <c r="AM19" s="97"/>
      <c r="AN19" s="95">
        <v>1.6200000000000001E-4</v>
      </c>
      <c r="AO19" s="95">
        <v>4.0299999999999998E-4</v>
      </c>
      <c r="AP19" s="101">
        <v>1.18E-4</v>
      </c>
      <c r="AQ19" s="101">
        <v>1.3100000000000001E-4</v>
      </c>
      <c r="AR19" s="101">
        <v>3.3599999999999998E-4</v>
      </c>
      <c r="AS19" s="101">
        <v>3.0200000000000002E-4</v>
      </c>
      <c r="AT19" s="101">
        <v>1.5300000000000001E-4</v>
      </c>
      <c r="AU19" s="101">
        <v>2.1699999999999999E-4</v>
      </c>
      <c r="AV19" s="95"/>
      <c r="AW19" s="95"/>
      <c r="AX19" s="95" t="s">
        <v>206</v>
      </c>
      <c r="AY19" s="95"/>
      <c r="AZ19" s="101"/>
      <c r="BA19" s="101"/>
      <c r="BB19" s="95"/>
      <c r="BC19" s="95"/>
      <c r="BD19" s="95">
        <v>3.1393789038960577E-4</v>
      </c>
      <c r="BE19" s="95">
        <v>3.0060204430199189E-4</v>
      </c>
      <c r="BF19" s="95">
        <v>3.0574291250453121E-4</v>
      </c>
      <c r="BG19" s="101">
        <v>3.020803308322696E-4</v>
      </c>
      <c r="BH19" s="95"/>
      <c r="BI19" s="101">
        <v>5.4000000000000003E-3</v>
      </c>
      <c r="BJ19" s="95">
        <v>1.65E-4</v>
      </c>
      <c r="BK19" s="95">
        <v>2.34E-4</v>
      </c>
      <c r="BL19" s="95"/>
      <c r="BM19" s="102">
        <v>1.2949999999999999E-3</v>
      </c>
      <c r="BN19" s="95"/>
      <c r="BO19" s="101"/>
      <c r="BP19" s="101"/>
      <c r="BQ19" s="101"/>
      <c r="BR19" s="101">
        <v>1.65E-4</v>
      </c>
      <c r="BS19" s="101">
        <v>2.34E-4</v>
      </c>
      <c r="BT19" s="95"/>
      <c r="BU19" s="95"/>
      <c r="BV19" s="97">
        <v>0</v>
      </c>
      <c r="BW19" s="97"/>
      <c r="BX19" s="97">
        <v>0.371</v>
      </c>
      <c r="BY19" s="97">
        <v>0</v>
      </c>
      <c r="BZ19" s="96"/>
      <c r="CA19" s="97"/>
      <c r="CB19" s="97"/>
      <c r="CC19" s="97"/>
      <c r="CD19" s="97"/>
      <c r="CE19" s="97"/>
      <c r="CF19" s="97">
        <v>0</v>
      </c>
      <c r="CG19" s="96"/>
      <c r="CH19" s="96"/>
      <c r="CI19" s="95">
        <v>0</v>
      </c>
      <c r="CJ19" s="95" t="s">
        <v>206</v>
      </c>
      <c r="CK19" s="101">
        <v>5.7000000000000002E-3</v>
      </c>
      <c r="CL19" s="96"/>
      <c r="CM19" s="101"/>
      <c r="CN19" s="101"/>
      <c r="CO19" s="95">
        <v>0</v>
      </c>
      <c r="CP19" s="95"/>
      <c r="CQ19" s="101"/>
      <c r="CR19" s="95"/>
      <c r="CS19" s="95">
        <v>0</v>
      </c>
      <c r="CT19" s="95"/>
      <c r="CU19" s="95"/>
      <c r="CV19" s="95"/>
      <c r="CW19" s="95">
        <v>0</v>
      </c>
      <c r="CX19" s="95"/>
      <c r="CY19" s="103"/>
      <c r="CZ19" s="103"/>
      <c r="DA19" s="103"/>
      <c r="DB19" s="103"/>
      <c r="DC19" s="103"/>
      <c r="DD19" s="103"/>
    </row>
    <row r="20" spans="1:108">
      <c r="A20" s="54">
        <v>8</v>
      </c>
      <c r="B20" s="95" t="s">
        <v>206</v>
      </c>
      <c r="C20" s="95">
        <v>8.6300000000000005E-3</v>
      </c>
      <c r="D20" s="96">
        <v>1.18E-4</v>
      </c>
      <c r="E20" s="96">
        <v>2.9399999999999999E-4</v>
      </c>
      <c r="F20" s="95">
        <v>1.3100000000000001E-4</v>
      </c>
      <c r="G20" s="95">
        <v>3.28E-4</v>
      </c>
      <c r="H20" s="95">
        <v>2.0699999999999999E-4</v>
      </c>
      <c r="I20" s="95">
        <v>4.8700000000000002E-4</v>
      </c>
      <c r="J20" s="95"/>
      <c r="K20" s="95">
        <v>4.0000000000000002E-4</v>
      </c>
      <c r="L20" s="95">
        <v>3.8999999999999999E-4</v>
      </c>
      <c r="M20" s="95">
        <v>1.4899999999999999E-4</v>
      </c>
      <c r="N20" s="95">
        <v>1.34E-4</v>
      </c>
      <c r="O20" s="95">
        <v>3.9100000000000002E-4</v>
      </c>
      <c r="P20" s="95">
        <v>3.5199999999999999E-4</v>
      </c>
      <c r="Q20" s="97">
        <v>9.0000000000000006E-5</v>
      </c>
      <c r="R20" s="97">
        <v>1.4999999999999999E-4</v>
      </c>
      <c r="S20" s="97">
        <v>8.0000000000000007E-5</v>
      </c>
      <c r="T20" s="97">
        <v>1.1E-4</v>
      </c>
      <c r="U20" s="98">
        <v>5.8799999999999999E-5</v>
      </c>
      <c r="V20" s="99">
        <v>9.87E-5</v>
      </c>
      <c r="W20" s="98">
        <v>4.9599999999999999E-5</v>
      </c>
      <c r="X20" s="99">
        <v>5.8400000000000003E-5</v>
      </c>
      <c r="Y20" s="100">
        <v>1.6215589999999999E-4</v>
      </c>
      <c r="Z20" s="100">
        <v>1.89483E-4</v>
      </c>
      <c r="AA20" s="100">
        <v>1.1489059999999999E-4</v>
      </c>
      <c r="AB20" s="100">
        <v>1.633819E-4</v>
      </c>
      <c r="AC20" s="95">
        <v>1.4499999999999999E-3</v>
      </c>
      <c r="AD20" s="95">
        <v>2.31E-3</v>
      </c>
      <c r="AE20" s="95">
        <v>1.23E-3</v>
      </c>
      <c r="AF20" s="95">
        <v>1.1150999999999999E-3</v>
      </c>
      <c r="AG20" s="95">
        <v>1.1199999999999999E-3</v>
      </c>
      <c r="AH20" s="95">
        <v>1.2199000000000001E-3</v>
      </c>
      <c r="AI20" s="95">
        <v>1.23E-3</v>
      </c>
      <c r="AJ20" s="95">
        <v>3.2000000000000003E-4</v>
      </c>
      <c r="AK20" s="95">
        <v>4.0000000000000002E-4</v>
      </c>
      <c r="AL20" s="95">
        <v>7.6000000000000004E-4</v>
      </c>
      <c r="AM20" s="97"/>
      <c r="AN20" s="95">
        <v>1.4300000000000001E-4</v>
      </c>
      <c r="AO20" s="95">
        <v>3.9199999999999999E-4</v>
      </c>
      <c r="AP20" s="101">
        <v>1.0399999999999999E-4</v>
      </c>
      <c r="AQ20" s="101">
        <v>1.16E-4</v>
      </c>
      <c r="AR20" s="101">
        <v>3.2699999999999998E-4</v>
      </c>
      <c r="AS20" s="101">
        <v>2.9399999999999999E-4</v>
      </c>
      <c r="AT20" s="101">
        <v>1.37E-4</v>
      </c>
      <c r="AU20" s="101">
        <v>2.0100000000000001E-4</v>
      </c>
      <c r="AV20" s="95"/>
      <c r="AW20" s="95"/>
      <c r="AX20" s="95" t="s">
        <v>206</v>
      </c>
      <c r="AY20" s="95"/>
      <c r="AZ20" s="101"/>
      <c r="BA20" s="101"/>
      <c r="BB20" s="95"/>
      <c r="BC20" s="95"/>
      <c r="BD20" s="95">
        <v>2.8125833130320199E-4</v>
      </c>
      <c r="BE20" s="95">
        <v>2.6881279849031554E-4</v>
      </c>
      <c r="BF20" s="95">
        <v>2.7057711136287051E-4</v>
      </c>
      <c r="BG20" s="101">
        <v>2.6776108703950574E-4</v>
      </c>
      <c r="BH20" s="95"/>
      <c r="BI20" s="101">
        <v>4.4299999999999999E-3</v>
      </c>
      <c r="BJ20" s="95">
        <v>1.47E-4</v>
      </c>
      <c r="BK20" s="95">
        <v>2.1599999999999999E-4</v>
      </c>
      <c r="BL20" s="95"/>
      <c r="BM20" s="102">
        <v>1.2949999999999999E-3</v>
      </c>
      <c r="BN20" s="95"/>
      <c r="BO20" s="101"/>
      <c r="BP20" s="101"/>
      <c r="BQ20" s="101"/>
      <c r="BR20" s="101">
        <v>1.47E-4</v>
      </c>
      <c r="BS20" s="101">
        <v>2.1599999999999999E-4</v>
      </c>
      <c r="BT20" s="95"/>
      <c r="BU20" s="95"/>
      <c r="BV20" s="97">
        <v>0</v>
      </c>
      <c r="BW20" s="97"/>
      <c r="BX20" s="97">
        <v>0.35799999999999998</v>
      </c>
      <c r="BY20" s="97">
        <v>0</v>
      </c>
      <c r="BZ20" s="96"/>
      <c r="CA20" s="97"/>
      <c r="CB20" s="97"/>
      <c r="CC20" s="97"/>
      <c r="CD20" s="97"/>
      <c r="CE20" s="97"/>
      <c r="CF20" s="97">
        <v>0</v>
      </c>
      <c r="CG20" s="96"/>
      <c r="CH20" s="96"/>
      <c r="CI20" s="95">
        <v>0</v>
      </c>
      <c r="CJ20" s="95" t="s">
        <v>206</v>
      </c>
      <c r="CK20" s="101">
        <v>5.5399999999999998E-3</v>
      </c>
      <c r="CL20" s="96"/>
      <c r="CM20" s="101"/>
      <c r="CN20" s="101"/>
      <c r="CO20" s="95">
        <v>0</v>
      </c>
      <c r="CP20" s="95"/>
      <c r="CQ20" s="101"/>
      <c r="CR20" s="95"/>
      <c r="CS20" s="95">
        <v>0</v>
      </c>
      <c r="CT20" s="95"/>
      <c r="CU20" s="95"/>
      <c r="CV20" s="95"/>
      <c r="CW20" s="95">
        <v>0</v>
      </c>
      <c r="CX20" s="95"/>
      <c r="CY20" s="103"/>
      <c r="CZ20" s="103"/>
      <c r="DA20" s="103"/>
      <c r="DB20" s="103"/>
      <c r="DC20" s="103"/>
      <c r="DD20" s="103"/>
    </row>
    <row r="21" spans="1:108">
      <c r="A21" s="54">
        <v>9</v>
      </c>
      <c r="B21" s="95" t="s">
        <v>206</v>
      </c>
      <c r="C21" s="95">
        <v>7.9000000000000008E-3</v>
      </c>
      <c r="D21" s="96">
        <v>1.21E-4</v>
      </c>
      <c r="E21" s="96">
        <v>3.2499999999999999E-4</v>
      </c>
      <c r="F21" s="95">
        <v>1.34E-4</v>
      </c>
      <c r="G21" s="95">
        <v>3.6200000000000002E-4</v>
      </c>
      <c r="H21" s="95">
        <v>1.93E-4</v>
      </c>
      <c r="I21" s="95">
        <v>4.8200000000000001E-4</v>
      </c>
      <c r="J21" s="95"/>
      <c r="K21" s="95">
        <v>4.0999999999999999E-4</v>
      </c>
      <c r="L21" s="95">
        <v>3.8999999999999999E-4</v>
      </c>
      <c r="M21" s="95">
        <v>1.5100000000000001E-4</v>
      </c>
      <c r="N21" s="95">
        <v>1.36E-4</v>
      </c>
      <c r="O21" s="95">
        <v>4.0900000000000002E-4</v>
      </c>
      <c r="P21" s="95">
        <v>3.68E-4</v>
      </c>
      <c r="Q21" s="97">
        <v>1.1E-4</v>
      </c>
      <c r="R21" s="97">
        <v>1.6000000000000001E-4</v>
      </c>
      <c r="S21" s="97">
        <v>9.0000000000000006E-5</v>
      </c>
      <c r="T21" s="97">
        <v>1.2E-4</v>
      </c>
      <c r="U21" s="98">
        <v>6.2700000000000006E-5</v>
      </c>
      <c r="V21" s="99">
        <v>1.052E-4</v>
      </c>
      <c r="W21" s="98">
        <v>5.2599999999999998E-5</v>
      </c>
      <c r="X21" s="99">
        <v>6.2399999999999999E-5</v>
      </c>
      <c r="Y21" s="100">
        <v>1.676263E-4</v>
      </c>
      <c r="Z21" s="100">
        <v>1.9610130000000001E-4</v>
      </c>
      <c r="AA21" s="100">
        <v>1.2712340000000001E-4</v>
      </c>
      <c r="AB21" s="100">
        <v>1.6631950000000001E-4</v>
      </c>
      <c r="AC21" s="95">
        <v>1.42E-3</v>
      </c>
      <c r="AD21" s="95">
        <v>2.1199999999999999E-3</v>
      </c>
      <c r="AE21" s="95">
        <v>1.2099999999999999E-3</v>
      </c>
      <c r="AF21" s="95">
        <v>1.1099E-3</v>
      </c>
      <c r="AG21" s="95">
        <v>1.1100000000000001E-3</v>
      </c>
      <c r="AH21" s="95">
        <v>1.2099999999999999E-3</v>
      </c>
      <c r="AI21" s="95">
        <v>1.2099999999999999E-3</v>
      </c>
      <c r="AJ21" s="95">
        <v>2.9999999999999997E-4</v>
      </c>
      <c r="AK21" s="95">
        <v>3.6999999999999999E-4</v>
      </c>
      <c r="AL21" s="95">
        <v>7.3999999999999999E-4</v>
      </c>
      <c r="AM21" s="97"/>
      <c r="AN21" s="95">
        <v>1.34E-4</v>
      </c>
      <c r="AO21" s="95">
        <v>3.8900000000000002E-4</v>
      </c>
      <c r="AP21" s="101">
        <v>9.7E-5</v>
      </c>
      <c r="AQ21" s="101">
        <v>1.08E-4</v>
      </c>
      <c r="AR21" s="101">
        <v>3.2400000000000001E-4</v>
      </c>
      <c r="AS21" s="101">
        <v>2.92E-4</v>
      </c>
      <c r="AT21" s="101">
        <v>1.2999999999999999E-4</v>
      </c>
      <c r="AU21" s="101">
        <v>1.94E-4</v>
      </c>
      <c r="AV21" s="95"/>
      <c r="AW21" s="95"/>
      <c r="AX21" s="95" t="s">
        <v>206</v>
      </c>
      <c r="AY21" s="95"/>
      <c r="AZ21" s="101"/>
      <c r="BA21" s="101"/>
      <c r="BB21" s="95"/>
      <c r="BC21" s="95"/>
      <c r="BD21" s="95">
        <v>2.7311209676325393E-4</v>
      </c>
      <c r="BE21" s="95">
        <v>2.6061452412972616E-4</v>
      </c>
      <c r="BF21" s="95">
        <v>2.5144636948361379E-4</v>
      </c>
      <c r="BG21" s="101">
        <v>2.4835354346849822E-4</v>
      </c>
      <c r="BH21" s="95"/>
      <c r="BI21" s="101">
        <v>3.8800000000000002E-3</v>
      </c>
      <c r="BJ21" s="95">
        <v>1.3999999999999999E-4</v>
      </c>
      <c r="BK21" s="95">
        <v>2.0900000000000001E-4</v>
      </c>
      <c r="BL21" s="95"/>
      <c r="BM21" s="102">
        <v>1.2949999999999999E-3</v>
      </c>
      <c r="BN21" s="95"/>
      <c r="BO21" s="101"/>
      <c r="BP21" s="101"/>
      <c r="BQ21" s="101"/>
      <c r="BR21" s="101">
        <v>1.3999999999999999E-4</v>
      </c>
      <c r="BS21" s="101">
        <v>2.0900000000000001E-4</v>
      </c>
      <c r="BT21" s="95"/>
      <c r="BU21" s="95"/>
      <c r="BV21" s="97">
        <v>0</v>
      </c>
      <c r="BW21" s="97"/>
      <c r="BX21" s="97">
        <v>0.34499999999999997</v>
      </c>
      <c r="BY21" s="97">
        <v>0</v>
      </c>
      <c r="BZ21" s="96"/>
      <c r="CA21" s="97"/>
      <c r="CB21" s="97"/>
      <c r="CC21" s="97"/>
      <c r="CD21" s="97"/>
      <c r="CE21" s="97"/>
      <c r="CF21" s="97">
        <v>0</v>
      </c>
      <c r="CG21" s="96"/>
      <c r="CH21" s="96"/>
      <c r="CI21" s="95">
        <v>0</v>
      </c>
      <c r="CJ21" s="95" t="s">
        <v>206</v>
      </c>
      <c r="CK21" s="101">
        <v>5.3899999999999998E-3</v>
      </c>
      <c r="CL21" s="96"/>
      <c r="CM21" s="101"/>
      <c r="CN21" s="101"/>
      <c r="CO21" s="95">
        <v>0</v>
      </c>
      <c r="CP21" s="95"/>
      <c r="CQ21" s="101"/>
      <c r="CR21" s="95"/>
      <c r="CS21" s="95">
        <v>0</v>
      </c>
      <c r="CT21" s="95"/>
      <c r="CU21" s="95"/>
      <c r="CV21" s="95"/>
      <c r="CW21" s="95">
        <v>0</v>
      </c>
      <c r="CX21" s="95"/>
      <c r="CY21" s="103"/>
      <c r="CZ21" s="103"/>
      <c r="DA21" s="103"/>
      <c r="DB21" s="103"/>
      <c r="DC21" s="103"/>
      <c r="DD21" s="103"/>
    </row>
    <row r="22" spans="1:108">
      <c r="A22" s="54">
        <v>10</v>
      </c>
      <c r="B22" s="95" t="s">
        <v>206</v>
      </c>
      <c r="C22" s="95">
        <v>7.4900000000000001E-3</v>
      </c>
      <c r="D22" s="96">
        <v>1.26E-4</v>
      </c>
      <c r="E22" s="96">
        <v>3.5E-4</v>
      </c>
      <c r="F22" s="95">
        <v>1.3999999999999999E-4</v>
      </c>
      <c r="G22" s="95">
        <v>3.8999999999999999E-4</v>
      </c>
      <c r="H22" s="95">
        <v>1.9100000000000001E-4</v>
      </c>
      <c r="I22" s="95">
        <v>4.8299999999999998E-4</v>
      </c>
      <c r="J22" s="95">
        <v>4.8299999999999998E-4</v>
      </c>
      <c r="K22" s="95">
        <v>4.1999999999999996E-4</v>
      </c>
      <c r="L22" s="95">
        <v>3.8999999999999999E-4</v>
      </c>
      <c r="M22" s="95">
        <v>1.56E-4</v>
      </c>
      <c r="N22" s="95">
        <v>1.4100000000000001E-4</v>
      </c>
      <c r="O22" s="95">
        <v>4.2400000000000001E-4</v>
      </c>
      <c r="P22" s="95">
        <v>3.8200000000000002E-4</v>
      </c>
      <c r="Q22" s="97">
        <v>1.3999999999999999E-4</v>
      </c>
      <c r="R22" s="97">
        <v>1.8000000000000001E-4</v>
      </c>
      <c r="S22" s="97">
        <v>1.2E-4</v>
      </c>
      <c r="T22" s="97">
        <v>1.2999999999999999E-4</v>
      </c>
      <c r="U22" s="98">
        <v>6.7500000000000001E-5</v>
      </c>
      <c r="V22" s="99">
        <v>1.141E-4</v>
      </c>
      <c r="W22" s="98">
        <v>5.6499999999999998E-5</v>
      </c>
      <c r="X22" s="99">
        <v>6.7299999999999996E-5</v>
      </c>
      <c r="Y22" s="100">
        <v>1.7913799999999999E-4</v>
      </c>
      <c r="Z22" s="100">
        <v>2.0915570000000001E-4</v>
      </c>
      <c r="AA22" s="100">
        <v>1.4544260000000001E-4</v>
      </c>
      <c r="AB22" s="100">
        <v>1.7316750000000001E-4</v>
      </c>
      <c r="AC22" s="95">
        <v>1.42E-3</v>
      </c>
      <c r="AD22" s="95">
        <v>1.97E-3</v>
      </c>
      <c r="AE22" s="95">
        <v>1.2099999999999999E-3</v>
      </c>
      <c r="AF22" s="95">
        <v>1.1150000000000001E-3</v>
      </c>
      <c r="AG22" s="95">
        <v>1.1100000000000001E-3</v>
      </c>
      <c r="AH22" s="95">
        <v>1.2199999999999999E-3</v>
      </c>
      <c r="AI22" s="95">
        <v>1.2099999999999999E-3</v>
      </c>
      <c r="AJ22" s="95">
        <v>2.9E-4</v>
      </c>
      <c r="AK22" s="95">
        <v>3.6000000000000002E-4</v>
      </c>
      <c r="AL22" s="95">
        <v>7.2999999999999996E-4</v>
      </c>
      <c r="AM22" s="97"/>
      <c r="AN22" s="95">
        <v>1.3200000000000001E-4</v>
      </c>
      <c r="AO22" s="95">
        <v>3.8999999999999999E-4</v>
      </c>
      <c r="AP22" s="101">
        <v>9.6000000000000002E-5</v>
      </c>
      <c r="AQ22" s="101">
        <v>1.07E-4</v>
      </c>
      <c r="AR22" s="101">
        <v>3.2499999999999999E-4</v>
      </c>
      <c r="AS22" s="101">
        <v>2.9300000000000002E-4</v>
      </c>
      <c r="AT22" s="101">
        <v>1.3100000000000001E-4</v>
      </c>
      <c r="AU22" s="101">
        <v>1.9699999999999999E-4</v>
      </c>
      <c r="AV22" s="95"/>
      <c r="AW22" s="95"/>
      <c r="AX22" s="95" t="s">
        <v>206</v>
      </c>
      <c r="AY22" s="95"/>
      <c r="AZ22" s="101"/>
      <c r="BA22" s="101"/>
      <c r="BB22" s="95"/>
      <c r="BC22" s="95"/>
      <c r="BD22" s="95">
        <v>2.7520720681409224E-4</v>
      </c>
      <c r="BE22" s="95">
        <v>2.623627426045437E-4</v>
      </c>
      <c r="BF22" s="95">
        <v>2.4843738185771733E-4</v>
      </c>
      <c r="BG22" s="101">
        <v>2.4371660574609014E-4</v>
      </c>
      <c r="BH22" s="95"/>
      <c r="BI22" s="101">
        <v>3.64E-3</v>
      </c>
      <c r="BJ22" s="95">
        <v>1.4100000000000001E-4</v>
      </c>
      <c r="BK22" s="95">
        <v>2.12E-4</v>
      </c>
      <c r="BL22" s="95"/>
      <c r="BM22" s="102">
        <v>1.2949999999999999E-3</v>
      </c>
      <c r="BN22" s="95"/>
      <c r="BO22" s="101"/>
      <c r="BP22" s="101"/>
      <c r="BQ22" s="101"/>
      <c r="BR22" s="101">
        <v>1.4100000000000001E-4</v>
      </c>
      <c r="BS22" s="101">
        <v>2.12E-4</v>
      </c>
      <c r="BT22" s="95"/>
      <c r="BU22" s="95"/>
      <c r="BV22" s="97">
        <v>0</v>
      </c>
      <c r="BW22" s="97"/>
      <c r="BX22" s="97">
        <v>0.33200000000000002</v>
      </c>
      <c r="BY22" s="97">
        <v>0</v>
      </c>
      <c r="BZ22" s="96"/>
      <c r="CA22" s="97"/>
      <c r="CB22" s="97"/>
      <c r="CC22" s="97"/>
      <c r="CD22" s="97"/>
      <c r="CE22" s="97"/>
      <c r="CF22" s="97">
        <v>0</v>
      </c>
      <c r="CG22" s="96"/>
      <c r="CH22" s="96"/>
      <c r="CI22" s="95">
        <v>0</v>
      </c>
      <c r="CJ22" s="95" t="s">
        <v>206</v>
      </c>
      <c r="CK22" s="101">
        <v>5.2500000000000003E-3</v>
      </c>
      <c r="CL22" s="96"/>
      <c r="CM22" s="101"/>
      <c r="CN22" s="101"/>
      <c r="CO22" s="95">
        <v>0</v>
      </c>
      <c r="CP22" s="95"/>
      <c r="CQ22" s="101"/>
      <c r="CR22" s="95"/>
      <c r="CS22" s="95">
        <v>0</v>
      </c>
      <c r="CT22" s="95"/>
      <c r="CU22" s="95"/>
      <c r="CV22" s="95"/>
      <c r="CW22" s="95">
        <v>0</v>
      </c>
      <c r="CX22" s="95"/>
      <c r="CY22" s="103"/>
      <c r="CZ22" s="103"/>
      <c r="DA22" s="103"/>
      <c r="DB22" s="103"/>
      <c r="DC22" s="103"/>
      <c r="DD22" s="103"/>
    </row>
    <row r="23" spans="1:108">
      <c r="A23" s="54">
        <v>11</v>
      </c>
      <c r="B23" s="95" t="s">
        <v>206</v>
      </c>
      <c r="C23" s="95">
        <v>7.5199999999999998E-3</v>
      </c>
      <c r="D23" s="96">
        <v>1.3300000000000001E-4</v>
      </c>
      <c r="E23" s="96">
        <v>3.7100000000000002E-4</v>
      </c>
      <c r="F23" s="95">
        <v>1.4799999999999999E-4</v>
      </c>
      <c r="G23" s="95">
        <v>4.1300000000000001E-4</v>
      </c>
      <c r="H23" s="95">
        <v>2.0799999999999999E-4</v>
      </c>
      <c r="I23" s="95">
        <v>4.9200000000000003E-4</v>
      </c>
      <c r="J23" s="95">
        <v>4.9200000000000003E-4</v>
      </c>
      <c r="K23" s="95">
        <v>4.2999999999999999E-4</v>
      </c>
      <c r="L23" s="95">
        <v>4.0000000000000002E-4</v>
      </c>
      <c r="M23" s="95">
        <v>1.63E-4</v>
      </c>
      <c r="N23" s="95">
        <v>1.47E-4</v>
      </c>
      <c r="O23" s="95">
        <v>4.3800000000000002E-4</v>
      </c>
      <c r="P23" s="95">
        <v>3.9399999999999998E-4</v>
      </c>
      <c r="Q23" s="97">
        <v>1.8000000000000001E-4</v>
      </c>
      <c r="R23" s="97">
        <v>2.1000000000000001E-4</v>
      </c>
      <c r="S23" s="97">
        <v>1.4999999999999999E-4</v>
      </c>
      <c r="T23" s="97">
        <v>1.4999999999999999E-4</v>
      </c>
      <c r="U23" s="98">
        <v>7.2999999999999999E-5</v>
      </c>
      <c r="V23" s="99">
        <v>1.2769999999999999E-4</v>
      </c>
      <c r="W23" s="98">
        <v>6.0999999999999999E-5</v>
      </c>
      <c r="X23" s="99">
        <v>7.3800000000000005E-5</v>
      </c>
      <c r="Y23" s="100">
        <v>1.9796660000000001E-4</v>
      </c>
      <c r="Z23" s="100">
        <v>2.3256249999999999E-4</v>
      </c>
      <c r="AA23" s="100">
        <v>1.6848389999999999E-4</v>
      </c>
      <c r="AB23" s="100">
        <v>1.8620369999999999E-4</v>
      </c>
      <c r="AC23" s="95">
        <v>1.4499999999999999E-3</v>
      </c>
      <c r="AD23" s="95">
        <v>1.91E-3</v>
      </c>
      <c r="AE23" s="95">
        <v>1.23E-3</v>
      </c>
      <c r="AF23" s="95">
        <v>1.1301E-3</v>
      </c>
      <c r="AG23" s="95">
        <v>1.1199999999999999E-3</v>
      </c>
      <c r="AH23" s="95">
        <v>1.245E-3</v>
      </c>
      <c r="AI23" s="95">
        <v>1.23E-3</v>
      </c>
      <c r="AJ23" s="95">
        <v>2.9E-4</v>
      </c>
      <c r="AK23" s="95">
        <v>3.6999999999999999E-4</v>
      </c>
      <c r="AL23" s="95">
        <v>7.7000000000000007E-4</v>
      </c>
      <c r="AM23" s="97"/>
      <c r="AN23" s="95">
        <v>1.4300000000000001E-4</v>
      </c>
      <c r="AO23" s="95">
        <v>3.97E-4</v>
      </c>
      <c r="AP23" s="101">
        <v>1.0399999999999999E-4</v>
      </c>
      <c r="AQ23" s="101">
        <v>1.16E-4</v>
      </c>
      <c r="AR23" s="101">
        <v>3.3100000000000002E-4</v>
      </c>
      <c r="AS23" s="101">
        <v>2.9799999999999998E-4</v>
      </c>
      <c r="AT23" s="101">
        <v>1.3799999999999999E-4</v>
      </c>
      <c r="AU23" s="101">
        <v>2.0799999999999999E-4</v>
      </c>
      <c r="AV23" s="95"/>
      <c r="AW23" s="95"/>
      <c r="AX23" s="95" t="s">
        <v>206</v>
      </c>
      <c r="AY23" s="95"/>
      <c r="AZ23" s="101"/>
      <c r="BA23" s="101"/>
      <c r="BB23" s="95"/>
      <c r="BC23" s="95"/>
      <c r="BD23" s="95">
        <v>2.8347307136947068E-4</v>
      </c>
      <c r="BE23" s="95">
        <v>2.701678024629022E-4</v>
      </c>
      <c r="BF23" s="95">
        <v>2.646574633366702E-4</v>
      </c>
      <c r="BG23" s="101">
        <v>2.5637732299746267E-4</v>
      </c>
      <c r="BH23" s="95"/>
      <c r="BI23" s="101">
        <v>3.6600000000000001E-3</v>
      </c>
      <c r="BJ23" s="95">
        <v>1.4300000000000001E-4</v>
      </c>
      <c r="BK23" s="95">
        <v>2.1900000000000001E-4</v>
      </c>
      <c r="BL23" s="95"/>
      <c r="BM23" s="102">
        <v>1.2949999999999999E-3</v>
      </c>
      <c r="BN23" s="95"/>
      <c r="BO23" s="101"/>
      <c r="BP23" s="101"/>
      <c r="BQ23" s="101"/>
      <c r="BR23" s="101">
        <v>1.4799999999999999E-4</v>
      </c>
      <c r="BS23" s="101">
        <v>2.23E-4</v>
      </c>
      <c r="BT23" s="95"/>
      <c r="BU23" s="95"/>
      <c r="BV23" s="97">
        <v>0</v>
      </c>
      <c r="BW23" s="97"/>
      <c r="BX23" s="97">
        <v>0.31900000000000001</v>
      </c>
      <c r="BY23" s="97">
        <v>0</v>
      </c>
      <c r="BZ23" s="96"/>
      <c r="CA23" s="97"/>
      <c r="CB23" s="97"/>
      <c r="CC23" s="97"/>
      <c r="CD23" s="97"/>
      <c r="CE23" s="97"/>
      <c r="CF23" s="97">
        <v>0</v>
      </c>
      <c r="CG23" s="96"/>
      <c r="CH23" s="96"/>
      <c r="CI23" s="95">
        <v>0</v>
      </c>
      <c r="CJ23" s="95" t="s">
        <v>206</v>
      </c>
      <c r="CK23" s="101">
        <v>5.1200000000000004E-3</v>
      </c>
      <c r="CL23" s="96"/>
      <c r="CM23" s="101"/>
      <c r="CN23" s="101"/>
      <c r="CO23" s="95">
        <v>0</v>
      </c>
      <c r="CP23" s="95"/>
      <c r="CQ23" s="101"/>
      <c r="CR23" s="95"/>
      <c r="CS23" s="95">
        <v>0</v>
      </c>
      <c r="CT23" s="95"/>
      <c r="CU23" s="95"/>
      <c r="CV23" s="95"/>
      <c r="CW23" s="95">
        <v>0</v>
      </c>
      <c r="CX23" s="95"/>
      <c r="CY23" s="103"/>
      <c r="CZ23" s="103"/>
      <c r="DA23" s="103"/>
      <c r="DB23" s="103"/>
      <c r="DC23" s="103"/>
      <c r="DD23" s="103"/>
    </row>
    <row r="24" spans="1:108">
      <c r="A24" s="54">
        <v>12</v>
      </c>
      <c r="B24" s="95" t="s">
        <v>206</v>
      </c>
      <c r="C24" s="95">
        <v>7.5399999999999998E-3</v>
      </c>
      <c r="D24" s="96">
        <v>1.4200000000000001E-4</v>
      </c>
      <c r="E24" s="96">
        <v>3.88E-4</v>
      </c>
      <c r="F24" s="95">
        <v>1.5799999999999999E-4</v>
      </c>
      <c r="G24" s="95">
        <v>4.3100000000000001E-4</v>
      </c>
      <c r="H24" s="95">
        <v>2.2499999999999999E-4</v>
      </c>
      <c r="I24" s="95">
        <v>5.0199999999999995E-4</v>
      </c>
      <c r="J24" s="95">
        <v>5.0199999999999995E-4</v>
      </c>
      <c r="K24" s="95">
        <v>4.4099999999999999E-4</v>
      </c>
      <c r="L24" s="95">
        <v>4.0999999999999999E-4</v>
      </c>
      <c r="M24" s="95">
        <v>1.7200000000000001E-4</v>
      </c>
      <c r="N24" s="95">
        <v>1.55E-4</v>
      </c>
      <c r="O24" s="95">
        <v>4.4999999999999999E-4</v>
      </c>
      <c r="P24" s="95">
        <v>4.0499999999999998E-4</v>
      </c>
      <c r="Q24" s="97">
        <v>2.2000000000000001E-4</v>
      </c>
      <c r="R24" s="97">
        <v>2.5999999999999998E-4</v>
      </c>
      <c r="S24" s="97">
        <v>1.8000000000000001E-4</v>
      </c>
      <c r="T24" s="97">
        <v>1.9000000000000001E-4</v>
      </c>
      <c r="U24" s="98">
        <v>7.9099999999999998E-5</v>
      </c>
      <c r="V24" s="99">
        <v>1.5090000000000001E-4</v>
      </c>
      <c r="W24" s="98">
        <v>6.6400000000000001E-5</v>
      </c>
      <c r="X24" s="99">
        <v>8.3100000000000001E-5</v>
      </c>
      <c r="Y24" s="100">
        <v>2.240586E-4</v>
      </c>
      <c r="Z24" s="100">
        <v>2.6996559999999998E-4</v>
      </c>
      <c r="AA24" s="100">
        <v>1.9434399999999999E-4</v>
      </c>
      <c r="AB24" s="100">
        <v>2.0969970000000001E-4</v>
      </c>
      <c r="AC24" s="95">
        <v>1.48E-3</v>
      </c>
      <c r="AD24" s="95">
        <v>1.92E-3</v>
      </c>
      <c r="AE24" s="95">
        <v>1.2600000000000001E-3</v>
      </c>
      <c r="AF24" s="95">
        <v>1.1548999999999999E-3</v>
      </c>
      <c r="AG24" s="95">
        <v>1.14E-3</v>
      </c>
      <c r="AH24" s="95">
        <v>1.2899999999999999E-3</v>
      </c>
      <c r="AI24" s="95">
        <v>1.2600000000000001E-3</v>
      </c>
      <c r="AJ24" s="95">
        <v>2.9999999999999997E-4</v>
      </c>
      <c r="AK24" s="95">
        <v>3.8999999999999999E-4</v>
      </c>
      <c r="AL24" s="95">
        <v>8.4999999999999995E-4</v>
      </c>
      <c r="AM24" s="97"/>
      <c r="AN24" s="95">
        <v>1.55E-4</v>
      </c>
      <c r="AO24" s="95">
        <v>4.0499999999999998E-4</v>
      </c>
      <c r="AP24" s="101">
        <v>1.13E-4</v>
      </c>
      <c r="AQ24" s="101">
        <v>1.26E-4</v>
      </c>
      <c r="AR24" s="101">
        <v>3.3799999999999998E-4</v>
      </c>
      <c r="AS24" s="101">
        <v>3.0400000000000002E-4</v>
      </c>
      <c r="AT24" s="101">
        <v>1.4799999999999999E-4</v>
      </c>
      <c r="AU24" s="101">
        <v>2.2599999999999999E-4</v>
      </c>
      <c r="AV24" s="95"/>
      <c r="AW24" s="95"/>
      <c r="AX24" s="95" t="s">
        <v>206</v>
      </c>
      <c r="AY24" s="95"/>
      <c r="AZ24" s="101"/>
      <c r="BA24" s="101"/>
      <c r="BB24" s="95"/>
      <c r="BC24" s="95"/>
      <c r="BD24" s="95">
        <v>3.1423746663991994E-4</v>
      </c>
      <c r="BE24" s="95">
        <v>3.0652682164653309E-4</v>
      </c>
      <c r="BF24" s="95">
        <v>3.0685667302609112E-4</v>
      </c>
      <c r="BG24" s="101">
        <v>2.9200065014114144E-4</v>
      </c>
      <c r="BH24" s="95"/>
      <c r="BI24" s="101">
        <v>3.8700000000000002E-3</v>
      </c>
      <c r="BJ24" s="95">
        <v>1.4799999999999999E-4</v>
      </c>
      <c r="BK24" s="95">
        <v>2.2800000000000001E-4</v>
      </c>
      <c r="BL24" s="95"/>
      <c r="BM24" s="102">
        <v>1.2949999999999999E-3</v>
      </c>
      <c r="BN24" s="95"/>
      <c r="BO24" s="101"/>
      <c r="BP24" s="101"/>
      <c r="BQ24" s="101"/>
      <c r="BR24" s="101">
        <v>1.5899999999999999E-4</v>
      </c>
      <c r="BS24" s="101">
        <v>2.43E-4</v>
      </c>
      <c r="BT24" s="95"/>
      <c r="BU24" s="95"/>
      <c r="BV24" s="97">
        <v>0</v>
      </c>
      <c r="BW24" s="97"/>
      <c r="BX24" s="97">
        <v>0.30599999999999999</v>
      </c>
      <c r="BY24" s="97">
        <v>0</v>
      </c>
      <c r="BZ24" s="96"/>
      <c r="CA24" s="97"/>
      <c r="CB24" s="97"/>
      <c r="CC24" s="97"/>
      <c r="CD24" s="97"/>
      <c r="CE24" s="97"/>
      <c r="CF24" s="97">
        <v>0</v>
      </c>
      <c r="CG24" s="96"/>
      <c r="CH24" s="96"/>
      <c r="CI24" s="95">
        <v>0</v>
      </c>
      <c r="CJ24" s="95" t="s">
        <v>206</v>
      </c>
      <c r="CK24" s="101">
        <v>5.0000000000000001E-3</v>
      </c>
      <c r="CL24" s="96"/>
      <c r="CM24" s="101"/>
      <c r="CN24" s="101"/>
      <c r="CO24" s="95">
        <v>0</v>
      </c>
      <c r="CP24" s="95"/>
      <c r="CQ24" s="101"/>
      <c r="CR24" s="95"/>
      <c r="CS24" s="95">
        <v>0</v>
      </c>
      <c r="CT24" s="95"/>
      <c r="CU24" s="95"/>
      <c r="CV24" s="95"/>
      <c r="CW24" s="95">
        <v>0</v>
      </c>
      <c r="CX24" s="95"/>
      <c r="CY24" s="103"/>
      <c r="CZ24" s="103"/>
      <c r="DA24" s="103"/>
      <c r="DB24" s="103"/>
      <c r="DC24" s="103"/>
      <c r="DD24" s="103"/>
    </row>
    <row r="25" spans="1:108">
      <c r="A25" s="54">
        <v>13</v>
      </c>
      <c r="B25" s="95" t="s">
        <v>206</v>
      </c>
      <c r="C25" s="95">
        <v>7.5700000000000003E-3</v>
      </c>
      <c r="D25" s="96">
        <v>1.5200000000000001E-4</v>
      </c>
      <c r="E25" s="96">
        <v>4.0200000000000001E-4</v>
      </c>
      <c r="F25" s="95">
        <v>1.7000000000000001E-4</v>
      </c>
      <c r="G25" s="95">
        <v>4.46E-4</v>
      </c>
      <c r="H25" s="95">
        <v>2.42E-4</v>
      </c>
      <c r="I25" s="95">
        <v>5.1199999999999998E-4</v>
      </c>
      <c r="J25" s="95">
        <v>5.1199999999999998E-4</v>
      </c>
      <c r="K25" s="95">
        <v>4.5200000000000004E-4</v>
      </c>
      <c r="L25" s="95">
        <v>4.0999999999999999E-4</v>
      </c>
      <c r="M25" s="95">
        <v>1.83E-4</v>
      </c>
      <c r="N25" s="95">
        <v>1.65E-4</v>
      </c>
      <c r="O25" s="95">
        <v>4.6099999999999998E-4</v>
      </c>
      <c r="P25" s="95">
        <v>4.15E-4</v>
      </c>
      <c r="Q25" s="97">
        <v>2.5999999999999998E-4</v>
      </c>
      <c r="R25" s="97">
        <v>3.3E-4</v>
      </c>
      <c r="S25" s="97">
        <v>2.2000000000000001E-4</v>
      </c>
      <c r="T25" s="97">
        <v>2.4000000000000001E-4</v>
      </c>
      <c r="U25" s="98">
        <v>8.6199999999999995E-5</v>
      </c>
      <c r="V25" s="99">
        <v>1.9110000000000001E-4</v>
      </c>
      <c r="W25" s="98">
        <v>7.3100000000000001E-5</v>
      </c>
      <c r="X25" s="99">
        <v>9.7100000000000002E-5</v>
      </c>
      <c r="Y25" s="100">
        <v>2.5553750000000002E-4</v>
      </c>
      <c r="Z25" s="100">
        <v>3.236332E-4</v>
      </c>
      <c r="AA25" s="100">
        <v>2.20953E-4</v>
      </c>
      <c r="AB25" s="100">
        <v>2.486764E-4</v>
      </c>
      <c r="AC25" s="95">
        <v>1.5499999999999999E-3</v>
      </c>
      <c r="AD25" s="95">
        <v>1.98E-3</v>
      </c>
      <c r="AE25" s="95">
        <v>1.32E-3</v>
      </c>
      <c r="AF25" s="95">
        <v>1.1900000000000001E-3</v>
      </c>
      <c r="AG25" s="95">
        <v>1.17E-3</v>
      </c>
      <c r="AH25" s="95">
        <v>1.3550000000000001E-3</v>
      </c>
      <c r="AI25" s="95">
        <v>1.32E-3</v>
      </c>
      <c r="AJ25" s="95">
        <v>3.2000000000000003E-4</v>
      </c>
      <c r="AK25" s="95">
        <v>4.4000000000000002E-4</v>
      </c>
      <c r="AL25" s="95">
        <v>9.8999999999999999E-4</v>
      </c>
      <c r="AM25" s="97"/>
      <c r="AN25" s="95">
        <v>1.6699999999999999E-4</v>
      </c>
      <c r="AO25" s="95">
        <v>4.1300000000000001E-4</v>
      </c>
      <c r="AP25" s="101">
        <v>1.22E-4</v>
      </c>
      <c r="AQ25" s="101">
        <v>1.35E-4</v>
      </c>
      <c r="AR25" s="101">
        <v>3.4400000000000001E-4</v>
      </c>
      <c r="AS25" s="101">
        <v>3.1E-4</v>
      </c>
      <c r="AT25" s="101">
        <v>1.64E-4</v>
      </c>
      <c r="AU25" s="101">
        <v>2.5500000000000002E-4</v>
      </c>
      <c r="AV25" s="95"/>
      <c r="AW25" s="95"/>
      <c r="AX25" s="95" t="s">
        <v>206</v>
      </c>
      <c r="AY25" s="95"/>
      <c r="AZ25" s="101"/>
      <c r="BA25" s="101"/>
      <c r="BB25" s="95"/>
      <c r="BC25" s="95"/>
      <c r="BD25" s="95">
        <v>4.2993037440981682E-4</v>
      </c>
      <c r="BE25" s="95">
        <v>4.1583134361789382E-4</v>
      </c>
      <c r="BF25" s="95">
        <v>3.8689641211192631E-4</v>
      </c>
      <c r="BG25" s="101">
        <v>3.5026946507837821E-4</v>
      </c>
      <c r="BH25" s="95"/>
      <c r="BI25" s="101">
        <v>4.2199999999999998E-3</v>
      </c>
      <c r="BJ25" s="95">
        <v>1.55E-4</v>
      </c>
      <c r="BK25" s="95">
        <v>2.4000000000000001E-4</v>
      </c>
      <c r="BL25" s="95"/>
      <c r="BM25" s="102">
        <v>1.2949999999999999E-3</v>
      </c>
      <c r="BN25" s="95"/>
      <c r="BO25" s="101"/>
      <c r="BP25" s="101"/>
      <c r="BQ25" s="101"/>
      <c r="BR25" s="101">
        <v>1.7699999999999999E-4</v>
      </c>
      <c r="BS25" s="101">
        <v>2.7500000000000002E-4</v>
      </c>
      <c r="BT25" s="95"/>
      <c r="BU25" s="95"/>
      <c r="BV25" s="97">
        <v>0</v>
      </c>
      <c r="BW25" s="97"/>
      <c r="BX25" s="97">
        <v>0.29299999999999998</v>
      </c>
      <c r="BY25" s="97">
        <v>0</v>
      </c>
      <c r="BZ25" s="96"/>
      <c r="CA25" s="97"/>
      <c r="CB25" s="97"/>
      <c r="CC25" s="97"/>
      <c r="CD25" s="97"/>
      <c r="CE25" s="97"/>
      <c r="CF25" s="97">
        <v>0</v>
      </c>
      <c r="CG25" s="96"/>
      <c r="CH25" s="96"/>
      <c r="CI25" s="95">
        <v>0</v>
      </c>
      <c r="CJ25" s="95" t="s">
        <v>206</v>
      </c>
      <c r="CK25" s="101">
        <v>4.8900000000000002E-3</v>
      </c>
      <c r="CL25" s="96"/>
      <c r="CM25" s="101"/>
      <c r="CN25" s="101"/>
      <c r="CO25" s="95">
        <v>0</v>
      </c>
      <c r="CP25" s="95"/>
      <c r="CQ25" s="101"/>
      <c r="CR25" s="95"/>
      <c r="CS25" s="95">
        <v>0</v>
      </c>
      <c r="CT25" s="95"/>
      <c r="CU25" s="95"/>
      <c r="CV25" s="95"/>
      <c r="CW25" s="95">
        <v>0</v>
      </c>
      <c r="CX25" s="95"/>
      <c r="CY25" s="103"/>
      <c r="CZ25" s="103"/>
      <c r="DA25" s="103"/>
      <c r="DB25" s="103"/>
      <c r="DC25" s="103"/>
      <c r="DD25" s="103"/>
    </row>
    <row r="26" spans="1:108">
      <c r="A26" s="54">
        <v>14</v>
      </c>
      <c r="B26" s="95">
        <v>6.4999999999999997E-4</v>
      </c>
      <c r="C26" s="95">
        <v>7.6E-3</v>
      </c>
      <c r="D26" s="96">
        <v>1.64E-4</v>
      </c>
      <c r="E26" s="96">
        <v>4.1399999999999998E-4</v>
      </c>
      <c r="F26" s="95">
        <v>1.83E-4</v>
      </c>
      <c r="G26" s="95">
        <v>4.5800000000000002E-4</v>
      </c>
      <c r="H26" s="95">
        <v>2.5999999999999998E-4</v>
      </c>
      <c r="I26" s="95">
        <v>5.2400000000000005E-4</v>
      </c>
      <c r="J26" s="95">
        <v>5.2400000000000005E-4</v>
      </c>
      <c r="K26" s="95">
        <v>4.6300000000000003E-4</v>
      </c>
      <c r="L26" s="95">
        <v>4.1999999999999996E-4</v>
      </c>
      <c r="M26" s="95">
        <v>1.95E-4</v>
      </c>
      <c r="N26" s="95">
        <v>1.75E-4</v>
      </c>
      <c r="O26" s="95">
        <v>4.7199999999999998E-4</v>
      </c>
      <c r="P26" s="95">
        <v>4.2499999999999998E-4</v>
      </c>
      <c r="Q26" s="97">
        <v>2.9999999999999997E-4</v>
      </c>
      <c r="R26" s="97">
        <v>4.2000000000000002E-4</v>
      </c>
      <c r="S26" s="97">
        <v>2.5000000000000001E-4</v>
      </c>
      <c r="T26" s="97">
        <v>3.1E-4</v>
      </c>
      <c r="U26" s="98">
        <v>9.5000000000000005E-5</v>
      </c>
      <c r="V26" s="99">
        <v>2.5569999999999998E-4</v>
      </c>
      <c r="W26" s="98">
        <v>8.25E-5</v>
      </c>
      <c r="X26" s="99">
        <v>1.182E-4</v>
      </c>
      <c r="Y26" s="100">
        <v>2.8981660000000002E-4</v>
      </c>
      <c r="Z26" s="100">
        <v>3.935276E-4</v>
      </c>
      <c r="AA26" s="100">
        <v>2.465344E-4</v>
      </c>
      <c r="AB26" s="100">
        <v>3.0577049999999998E-4</v>
      </c>
      <c r="AC26" s="95">
        <v>1.6299999999999999E-3</v>
      </c>
      <c r="AD26" s="95">
        <v>2.0699999999999998E-3</v>
      </c>
      <c r="AE26" s="95">
        <v>1.39E-3</v>
      </c>
      <c r="AF26" s="95">
        <v>1.235E-3</v>
      </c>
      <c r="AG26" s="95">
        <v>1.2099999999999999E-3</v>
      </c>
      <c r="AH26" s="95">
        <v>1.4250000000000001E-3</v>
      </c>
      <c r="AI26" s="95">
        <v>1.39E-3</v>
      </c>
      <c r="AJ26" s="95">
        <v>3.5E-4</v>
      </c>
      <c r="AK26" s="95">
        <v>5.0000000000000001E-4</v>
      </c>
      <c r="AL26" s="95">
        <v>1.15E-3</v>
      </c>
      <c r="AM26" s="97">
        <v>8.7100000000000003E-4</v>
      </c>
      <c r="AN26" s="95">
        <v>1.8000000000000001E-4</v>
      </c>
      <c r="AO26" s="95">
        <v>4.2200000000000001E-4</v>
      </c>
      <c r="AP26" s="101">
        <v>1.3100000000000001E-4</v>
      </c>
      <c r="AQ26" s="101">
        <v>1.46E-4</v>
      </c>
      <c r="AR26" s="101">
        <v>3.5199999999999999E-4</v>
      </c>
      <c r="AS26" s="101">
        <v>3.1700000000000001E-4</v>
      </c>
      <c r="AT26" s="101">
        <v>1.8900000000000001E-4</v>
      </c>
      <c r="AU26" s="101">
        <v>2.9700000000000001E-4</v>
      </c>
      <c r="AV26" s="95"/>
      <c r="AW26" s="95"/>
      <c r="AX26" s="95" t="s">
        <v>206</v>
      </c>
      <c r="AY26" s="95"/>
      <c r="AZ26" s="101"/>
      <c r="BA26" s="101"/>
      <c r="BB26" s="95"/>
      <c r="BC26" s="95"/>
      <c r="BD26" s="95">
        <v>5.5738660694705608E-4</v>
      </c>
      <c r="BE26" s="95">
        <v>5.3832273810051911E-4</v>
      </c>
      <c r="BF26" s="95">
        <v>5.2432633761626349E-4</v>
      </c>
      <c r="BG26" s="101">
        <v>4.8877907612298113E-4</v>
      </c>
      <c r="BH26" s="95"/>
      <c r="BI26" s="101">
        <v>4.6600000000000001E-3</v>
      </c>
      <c r="BJ26" s="95">
        <v>1.6200000000000001E-4</v>
      </c>
      <c r="BK26" s="95">
        <v>2.5399999999999999E-4</v>
      </c>
      <c r="BL26" s="95">
        <v>2.5990000000000002E-3</v>
      </c>
      <c r="BM26" s="102">
        <v>1.2949999999999999E-3</v>
      </c>
      <c r="BN26" s="95">
        <v>1.374E-3</v>
      </c>
      <c r="BO26" s="101"/>
      <c r="BP26" s="101"/>
      <c r="BQ26" s="101"/>
      <c r="BR26" s="101">
        <v>2.03E-4</v>
      </c>
      <c r="BS26" s="101">
        <v>3.2000000000000003E-4</v>
      </c>
      <c r="BT26" s="95">
        <v>5.9000000000000003E-4</v>
      </c>
      <c r="BU26" s="95">
        <v>8.7000000000000001E-4</v>
      </c>
      <c r="BV26" s="97">
        <v>0</v>
      </c>
      <c r="BW26" s="97">
        <v>0.17968562167659996</v>
      </c>
      <c r="BX26" s="97">
        <v>0.28000000000000003</v>
      </c>
      <c r="BY26" s="97">
        <v>0</v>
      </c>
      <c r="BZ26" s="96"/>
      <c r="CA26" s="97"/>
      <c r="CB26" s="97"/>
      <c r="CC26" s="97"/>
      <c r="CD26" s="97"/>
      <c r="CE26" s="97"/>
      <c r="CF26" s="97">
        <v>0</v>
      </c>
      <c r="CG26" s="96"/>
      <c r="CH26" s="96"/>
      <c r="CI26" s="95">
        <v>0</v>
      </c>
      <c r="CJ26" s="95" t="s">
        <v>206</v>
      </c>
      <c r="CK26" s="101">
        <v>4.79E-3</v>
      </c>
      <c r="CL26" s="96"/>
      <c r="CM26" s="101">
        <v>1.0399999999999999E-3</v>
      </c>
      <c r="CN26" s="101"/>
      <c r="CO26" s="95">
        <v>0</v>
      </c>
      <c r="CP26" s="95"/>
      <c r="CQ26" s="101"/>
      <c r="CR26" s="95"/>
      <c r="CS26" s="95">
        <v>0</v>
      </c>
      <c r="CT26" s="95"/>
      <c r="CU26" s="95"/>
      <c r="CV26" s="95"/>
      <c r="CW26" s="95">
        <v>0</v>
      </c>
      <c r="CX26" s="95"/>
      <c r="CY26" s="103"/>
      <c r="CZ26" s="103"/>
      <c r="DA26" s="103"/>
      <c r="DB26" s="103"/>
      <c r="DC26" s="103"/>
      <c r="DD26" s="103"/>
    </row>
    <row r="27" spans="1:108">
      <c r="A27" s="54">
        <v>15</v>
      </c>
      <c r="B27" s="95">
        <v>6.2E-4</v>
      </c>
      <c r="C27" s="95">
        <v>7.6299999999999996E-3</v>
      </c>
      <c r="D27" s="96">
        <v>1.7699999999999999E-4</v>
      </c>
      <c r="E27" s="96">
        <v>4.2499999999999998E-4</v>
      </c>
      <c r="F27" s="95">
        <v>1.9699999999999999E-4</v>
      </c>
      <c r="G27" s="95">
        <v>4.6999999999999999E-4</v>
      </c>
      <c r="H27" s="95">
        <v>2.7799999999999998E-4</v>
      </c>
      <c r="I27" s="95">
        <v>5.3700000000000004E-4</v>
      </c>
      <c r="J27" s="95">
        <v>5.3700000000000004E-4</v>
      </c>
      <c r="K27" s="95">
        <v>4.75E-4</v>
      </c>
      <c r="L27" s="95">
        <v>4.2999999999999999E-4</v>
      </c>
      <c r="M27" s="95">
        <v>2.0900000000000001E-4</v>
      </c>
      <c r="N27" s="95">
        <v>1.8799999999999999E-4</v>
      </c>
      <c r="O27" s="95">
        <v>4.8299999999999998E-4</v>
      </c>
      <c r="P27" s="95">
        <v>4.35E-4</v>
      </c>
      <c r="Q27" s="97">
        <v>3.3E-4</v>
      </c>
      <c r="R27" s="97">
        <v>5.2999999999999998E-4</v>
      </c>
      <c r="S27" s="97">
        <v>2.7E-4</v>
      </c>
      <c r="T27" s="97">
        <v>3.8999999999999999E-4</v>
      </c>
      <c r="U27" s="98">
        <v>1.08E-4</v>
      </c>
      <c r="V27" s="99">
        <v>3.4860000000000002E-4</v>
      </c>
      <c r="W27" s="98">
        <v>9.6799999999999995E-5</v>
      </c>
      <c r="X27" s="99">
        <v>1.4870000000000001E-4</v>
      </c>
      <c r="Y27" s="100">
        <v>3.2380739999999999E-4</v>
      </c>
      <c r="Z27" s="100">
        <v>4.7635009999999998E-4</v>
      </c>
      <c r="AA27" s="100">
        <v>2.6944490000000001E-4</v>
      </c>
      <c r="AB27" s="100">
        <v>3.7931690000000002E-4</v>
      </c>
      <c r="AC27" s="95">
        <v>1.72E-3</v>
      </c>
      <c r="AD27" s="95">
        <v>2.15E-3</v>
      </c>
      <c r="AE27" s="95">
        <v>1.4599999999999999E-3</v>
      </c>
      <c r="AF27" s="95">
        <v>1.2899999999999999E-3</v>
      </c>
      <c r="AG27" s="95">
        <v>1.2600000000000001E-3</v>
      </c>
      <c r="AH27" s="95">
        <v>1.5E-3</v>
      </c>
      <c r="AI27" s="95">
        <v>1.4599999999999999E-3</v>
      </c>
      <c r="AJ27" s="95">
        <v>3.8999999999999999E-4</v>
      </c>
      <c r="AK27" s="95">
        <v>5.5999999999999995E-4</v>
      </c>
      <c r="AL27" s="95">
        <v>1.33E-3</v>
      </c>
      <c r="AM27" s="97">
        <v>1.0059999999999999E-3</v>
      </c>
      <c r="AN27" s="95">
        <v>1.93E-4</v>
      </c>
      <c r="AO27" s="95">
        <v>4.3300000000000001E-4</v>
      </c>
      <c r="AP27" s="101">
        <v>1.3999999999999999E-4</v>
      </c>
      <c r="AQ27" s="101">
        <v>1.56E-4</v>
      </c>
      <c r="AR27" s="101">
        <v>3.6099999999999999E-4</v>
      </c>
      <c r="AS27" s="101">
        <v>3.2499999999999999E-4</v>
      </c>
      <c r="AT27" s="101">
        <v>2.1599999999999999E-4</v>
      </c>
      <c r="AU27" s="101">
        <v>3.4499999999999998E-4</v>
      </c>
      <c r="AV27" s="95">
        <v>2.9589999999999998E-4</v>
      </c>
      <c r="AW27" s="95">
        <v>1.1950000000000001E-3</v>
      </c>
      <c r="AX27" s="95">
        <v>1.0790000000000001E-3</v>
      </c>
      <c r="AY27" s="95">
        <v>1.5789999999999999E-3</v>
      </c>
      <c r="AZ27" s="101">
        <v>1.2880000000000001E-3</v>
      </c>
      <c r="BA27" s="101" t="s">
        <v>20</v>
      </c>
      <c r="BB27" s="95">
        <v>2.2899999999999999E-3</v>
      </c>
      <c r="BC27" s="95"/>
      <c r="BD27" s="95">
        <v>7.8070050188958615E-4</v>
      </c>
      <c r="BE27" s="95">
        <v>7.6505569990766768E-4</v>
      </c>
      <c r="BF27" s="95">
        <v>7.4340475488970145E-4</v>
      </c>
      <c r="BG27" s="101">
        <v>7.1851543508952211E-4</v>
      </c>
      <c r="BH27" s="95">
        <v>5.31E-4</v>
      </c>
      <c r="BI27" s="101">
        <v>5.1500000000000001E-3</v>
      </c>
      <c r="BJ27" s="95">
        <v>1.7000000000000001E-4</v>
      </c>
      <c r="BK27" s="95">
        <v>2.6899999999999998E-4</v>
      </c>
      <c r="BL27" s="95">
        <v>2.6359999999999999E-3</v>
      </c>
      <c r="BM27" s="102">
        <v>1.488E-3</v>
      </c>
      <c r="BN27" s="95">
        <v>1.407E-3</v>
      </c>
      <c r="BO27" s="101">
        <v>1.4890000000000001E-3</v>
      </c>
      <c r="BP27" s="101">
        <v>1.4139999999999999E-3</v>
      </c>
      <c r="BQ27" s="101">
        <v>1.4530000000000001E-3</v>
      </c>
      <c r="BR27" s="101">
        <v>2.33E-4</v>
      </c>
      <c r="BS27" s="101">
        <v>3.7100000000000002E-4</v>
      </c>
      <c r="BT27" s="95">
        <v>7.1000000000000002E-4</v>
      </c>
      <c r="BU27" s="95">
        <v>1E-3</v>
      </c>
      <c r="BV27" s="97">
        <v>0</v>
      </c>
      <c r="BW27" s="97">
        <v>0.17456626901661509</v>
      </c>
      <c r="BX27" s="97">
        <v>0.26700000000000002</v>
      </c>
      <c r="BY27" s="97">
        <v>0.11070000000000001</v>
      </c>
      <c r="BZ27" s="96">
        <v>0.12230000000000001</v>
      </c>
      <c r="CA27" s="97"/>
      <c r="CB27" s="97"/>
      <c r="CC27" s="97"/>
      <c r="CD27" s="97"/>
      <c r="CE27" s="97">
        <v>5.0000000000000002E-5</v>
      </c>
      <c r="CF27" s="97">
        <v>0</v>
      </c>
      <c r="CG27" s="96"/>
      <c r="CH27" s="96"/>
      <c r="CI27" s="95">
        <v>5.7499999999999999E-4</v>
      </c>
      <c r="CJ27" s="95">
        <v>3.1E-4</v>
      </c>
      <c r="CK27" s="101">
        <v>4.7000000000000002E-3</v>
      </c>
      <c r="CL27" s="96">
        <v>0.2762</v>
      </c>
      <c r="CM27" s="101">
        <v>1.0399999999999999E-3</v>
      </c>
      <c r="CN27" s="101">
        <v>7.1000000000000004E-3</v>
      </c>
      <c r="CO27" s="95">
        <v>1.2999999999999999E-4</v>
      </c>
      <c r="CP27" s="95">
        <v>6.9999999999999994E-5</v>
      </c>
      <c r="CQ27" s="101"/>
      <c r="CR27" s="95"/>
      <c r="CS27" s="95">
        <v>0</v>
      </c>
      <c r="CT27" s="95"/>
      <c r="CU27" s="95"/>
      <c r="CV27" s="95">
        <v>3.6000000000000002E-4</v>
      </c>
      <c r="CW27" s="95">
        <v>2.2000000000000001E-4</v>
      </c>
      <c r="CX27" s="95"/>
      <c r="CY27" s="103"/>
      <c r="CZ27" s="103"/>
      <c r="DA27" s="103"/>
      <c r="DB27" s="103"/>
      <c r="DC27" s="103"/>
      <c r="DD27" s="103"/>
    </row>
    <row r="28" spans="1:108">
      <c r="A28" s="54">
        <v>16</v>
      </c>
      <c r="B28" s="95">
        <v>8.4999999999999995E-4</v>
      </c>
      <c r="C28" s="95">
        <v>7.6600000000000001E-3</v>
      </c>
      <c r="D28" s="96">
        <v>1.9000000000000001E-4</v>
      </c>
      <c r="E28" s="96">
        <v>4.37E-4</v>
      </c>
      <c r="F28" s="95">
        <v>2.12E-4</v>
      </c>
      <c r="G28" s="95">
        <v>4.8099999999999998E-4</v>
      </c>
      <c r="H28" s="95">
        <v>2.9599999999999998E-4</v>
      </c>
      <c r="I28" s="95">
        <v>5.5099999999999995E-4</v>
      </c>
      <c r="J28" s="95">
        <v>5.5100000000000006E-4</v>
      </c>
      <c r="K28" s="95">
        <v>4.8799999999999999E-4</v>
      </c>
      <c r="L28" s="95">
        <v>4.4000000000000002E-4</v>
      </c>
      <c r="M28" s="95">
        <v>2.24E-4</v>
      </c>
      <c r="N28" s="95">
        <v>2.0100000000000001E-4</v>
      </c>
      <c r="O28" s="95">
        <v>4.95E-4</v>
      </c>
      <c r="P28" s="95">
        <v>4.46E-4</v>
      </c>
      <c r="Q28" s="97">
        <v>3.5E-4</v>
      </c>
      <c r="R28" s="97">
        <v>6.4999999999999997E-4</v>
      </c>
      <c r="S28" s="97">
        <v>2.9E-4</v>
      </c>
      <c r="T28" s="97">
        <v>4.8000000000000001E-4</v>
      </c>
      <c r="U28" s="98">
        <v>1.2990000000000001E-4</v>
      </c>
      <c r="V28" s="99">
        <v>4.682E-4</v>
      </c>
      <c r="W28" s="98">
        <v>1.22E-4</v>
      </c>
      <c r="X28" s="99">
        <v>1.9090000000000001E-4</v>
      </c>
      <c r="Y28" s="100">
        <v>3.5462500000000001E-4</v>
      </c>
      <c r="Z28" s="100">
        <v>5.6780990000000005E-4</v>
      </c>
      <c r="AA28" s="100">
        <v>2.8877379999999998E-4</v>
      </c>
      <c r="AB28" s="100">
        <v>4.6480479999999998E-4</v>
      </c>
      <c r="AC28" s="95">
        <v>1.81E-3</v>
      </c>
      <c r="AD28" s="95">
        <v>2.1900000000000001E-3</v>
      </c>
      <c r="AE28" s="95">
        <v>1.5399999999999999E-3</v>
      </c>
      <c r="AF28" s="95">
        <v>1.3550000000000001E-3</v>
      </c>
      <c r="AG28" s="95">
        <v>1.32E-3</v>
      </c>
      <c r="AH28" s="95">
        <v>1.58E-3</v>
      </c>
      <c r="AI28" s="95">
        <v>1.5399999999999999E-3</v>
      </c>
      <c r="AJ28" s="95">
        <v>4.4000000000000002E-4</v>
      </c>
      <c r="AK28" s="95">
        <v>6.3000000000000003E-4</v>
      </c>
      <c r="AL28" s="95">
        <v>1.5100000000000001E-3</v>
      </c>
      <c r="AM28" s="97">
        <v>1.15E-3</v>
      </c>
      <c r="AN28" s="95">
        <v>2.05E-4</v>
      </c>
      <c r="AO28" s="95">
        <v>4.44E-4</v>
      </c>
      <c r="AP28" s="101">
        <v>1.4899999999999999E-4</v>
      </c>
      <c r="AQ28" s="101">
        <v>1.66E-4</v>
      </c>
      <c r="AR28" s="101">
        <v>3.6999999999999999E-4</v>
      </c>
      <c r="AS28" s="101">
        <v>3.3300000000000002E-4</v>
      </c>
      <c r="AT28" s="101">
        <v>2.42E-4</v>
      </c>
      <c r="AU28" s="101">
        <v>3.9100000000000002E-4</v>
      </c>
      <c r="AV28" s="95">
        <v>3.3169999999999999E-4</v>
      </c>
      <c r="AW28" s="95">
        <v>1.2099999999999999E-3</v>
      </c>
      <c r="AX28" s="95">
        <v>1.0912000000000001E-3</v>
      </c>
      <c r="AY28" s="95">
        <v>1.5950000000000001E-3</v>
      </c>
      <c r="AZ28" s="101">
        <v>1.289E-3</v>
      </c>
      <c r="BA28" s="101" t="s">
        <v>21</v>
      </c>
      <c r="BB28" s="95">
        <v>2.3E-3</v>
      </c>
      <c r="BC28" s="95"/>
      <c r="BD28" s="95">
        <v>9.6280651446935251E-4</v>
      </c>
      <c r="BE28" s="95">
        <v>9.3604397566743867E-4</v>
      </c>
      <c r="BF28" s="95">
        <v>9.169704582584038E-4</v>
      </c>
      <c r="BG28" s="101">
        <v>8.9077862449496556E-4</v>
      </c>
      <c r="BH28" s="95">
        <v>5.44E-4</v>
      </c>
      <c r="BI28" s="101">
        <v>5.6499999999999996E-3</v>
      </c>
      <c r="BJ28" s="95">
        <v>1.7699999999999999E-4</v>
      </c>
      <c r="BK28" s="95">
        <v>2.8400000000000002E-4</v>
      </c>
      <c r="BL28" s="95">
        <v>2.6770000000000001E-3</v>
      </c>
      <c r="BM28" s="102">
        <v>1.694E-3</v>
      </c>
      <c r="BN28" s="95">
        <v>1.444E-3</v>
      </c>
      <c r="BO28" s="101">
        <v>1.4790000000000001E-3</v>
      </c>
      <c r="BP28" s="101">
        <v>1.3849999999999999E-3</v>
      </c>
      <c r="BQ28" s="101">
        <v>1.4369999999999999E-3</v>
      </c>
      <c r="BR28" s="101">
        <v>2.61E-4</v>
      </c>
      <c r="BS28" s="101">
        <v>4.2099999999999999E-4</v>
      </c>
      <c r="BT28" s="95">
        <v>8.1999999999999998E-4</v>
      </c>
      <c r="BU28" s="95">
        <v>1.1299999999999999E-3</v>
      </c>
      <c r="BV28" s="97">
        <v>0</v>
      </c>
      <c r="BW28" s="97">
        <v>0.1695775087537662</v>
      </c>
      <c r="BX28" s="97">
        <v>0.254</v>
      </c>
      <c r="BY28" s="97">
        <v>0.10829999999999999</v>
      </c>
      <c r="BZ28" s="96">
        <v>0.1182</v>
      </c>
      <c r="CA28" s="97"/>
      <c r="CB28" s="97"/>
      <c r="CC28" s="97"/>
      <c r="CD28" s="97">
        <v>2.5999999999999999E-2</v>
      </c>
      <c r="CE28" s="97">
        <v>5.0000000000000002E-5</v>
      </c>
      <c r="CF28" s="97">
        <v>0</v>
      </c>
      <c r="CG28" s="96"/>
      <c r="CH28" s="96">
        <v>0.1182</v>
      </c>
      <c r="CI28" s="95">
        <v>5.7300000000000005E-4</v>
      </c>
      <c r="CJ28" s="95">
        <v>3.2000000000000003E-4</v>
      </c>
      <c r="CK28" s="101">
        <v>4.62E-3</v>
      </c>
      <c r="CL28" s="96">
        <v>0.22309999999999999</v>
      </c>
      <c r="CM28" s="101">
        <v>1.0499999999999999E-3</v>
      </c>
      <c r="CN28" s="101">
        <v>6.1999999999999998E-3</v>
      </c>
      <c r="CO28" s="95">
        <v>1.6000000000000001E-4</v>
      </c>
      <c r="CP28" s="95">
        <v>9.0000000000000006E-5</v>
      </c>
      <c r="CQ28" s="101"/>
      <c r="CR28" s="95"/>
      <c r="CS28" s="95">
        <v>0</v>
      </c>
      <c r="CT28" s="95">
        <v>1.8E-3</v>
      </c>
      <c r="CU28" s="95">
        <v>1.1999999999999999E-3</v>
      </c>
      <c r="CV28" s="95">
        <v>3.6999999999999999E-4</v>
      </c>
      <c r="CW28" s="95">
        <v>2.4000000000000001E-4</v>
      </c>
      <c r="CX28" s="95"/>
      <c r="CY28" s="104">
        <v>6.5659999999999998</v>
      </c>
      <c r="CZ28" s="104">
        <v>4</v>
      </c>
      <c r="DA28" s="104">
        <v>0</v>
      </c>
      <c r="DB28" s="104">
        <v>6.32</v>
      </c>
      <c r="DC28" s="104">
        <v>6.87</v>
      </c>
      <c r="DD28" s="104">
        <v>0</v>
      </c>
    </row>
    <row r="29" spans="1:108">
      <c r="A29" s="54">
        <v>17</v>
      </c>
      <c r="B29" s="95">
        <v>1.1199999999999999E-3</v>
      </c>
      <c r="C29" s="95">
        <v>7.6900000000000007E-3</v>
      </c>
      <c r="D29" s="96">
        <v>2.04E-4</v>
      </c>
      <c r="E29" s="96">
        <v>4.4900000000000002E-4</v>
      </c>
      <c r="F29" s="95">
        <v>2.2800000000000001E-4</v>
      </c>
      <c r="G29" s="95">
        <v>4.95E-4</v>
      </c>
      <c r="H29" s="95">
        <v>3.1500000000000001E-4</v>
      </c>
      <c r="I29" s="95">
        <v>5.6700000000000001E-4</v>
      </c>
      <c r="J29" s="95">
        <v>5.669999999999999E-4</v>
      </c>
      <c r="K29" s="95">
        <v>5.0199999999999995E-4</v>
      </c>
      <c r="L29" s="95">
        <v>4.6000000000000001E-4</v>
      </c>
      <c r="M29" s="95">
        <v>2.3900000000000001E-4</v>
      </c>
      <c r="N29" s="95">
        <v>2.14E-4</v>
      </c>
      <c r="O29" s="95">
        <v>5.0799999999999999E-4</v>
      </c>
      <c r="P29" s="95">
        <v>4.5800000000000002E-4</v>
      </c>
      <c r="Q29" s="97">
        <v>3.6999999999999999E-4</v>
      </c>
      <c r="R29" s="97">
        <v>7.7999999999999999E-4</v>
      </c>
      <c r="S29" s="97">
        <v>2.9999999999999997E-4</v>
      </c>
      <c r="T29" s="97">
        <v>5.6999999999999998E-4</v>
      </c>
      <c r="U29" s="98">
        <v>1.6530000000000001E-4</v>
      </c>
      <c r="V29" s="99">
        <v>6.3520000000000004E-4</v>
      </c>
      <c r="W29" s="98">
        <v>1.428E-4</v>
      </c>
      <c r="X29" s="99">
        <v>2.7960000000000002E-4</v>
      </c>
      <c r="Y29" s="100">
        <v>3.8040719999999999E-4</v>
      </c>
      <c r="Z29" s="100">
        <v>6.615395E-4</v>
      </c>
      <c r="AA29" s="100">
        <v>3.0413469999999998E-4</v>
      </c>
      <c r="AB29" s="100">
        <v>5.5700149999999996E-4</v>
      </c>
      <c r="AC29" s="95">
        <v>1.9E-3</v>
      </c>
      <c r="AD29" s="95">
        <v>2.2499999999999998E-3</v>
      </c>
      <c r="AE29" s="95">
        <v>1.6199999999999999E-3</v>
      </c>
      <c r="AF29" s="95">
        <v>1.4250000000000001E-3</v>
      </c>
      <c r="AG29" s="95">
        <v>1.39E-3</v>
      </c>
      <c r="AH29" s="95">
        <v>1.6548999999999999E-3</v>
      </c>
      <c r="AI29" s="95">
        <v>1.6199999999999999E-3</v>
      </c>
      <c r="AJ29" s="95">
        <v>5.0000000000000001E-4</v>
      </c>
      <c r="AK29" s="95">
        <v>6.9999999999999999E-4</v>
      </c>
      <c r="AL29" s="95">
        <v>1.6699999999999998E-3</v>
      </c>
      <c r="AM29" s="97">
        <v>1.268E-3</v>
      </c>
      <c r="AN29" s="95">
        <v>2.1800000000000001E-4</v>
      </c>
      <c r="AO29" s="95">
        <v>4.57E-4</v>
      </c>
      <c r="AP29" s="101">
        <v>1.5899999999999999E-4</v>
      </c>
      <c r="AQ29" s="101">
        <v>1.7699999999999999E-4</v>
      </c>
      <c r="AR29" s="101">
        <v>3.8099999999999999E-4</v>
      </c>
      <c r="AS29" s="101">
        <v>3.4299999999999999E-4</v>
      </c>
      <c r="AT29" s="101">
        <v>2.6200000000000003E-4</v>
      </c>
      <c r="AU29" s="101">
        <v>4.2999999999999999E-4</v>
      </c>
      <c r="AV29" s="95">
        <v>3.4269999999999998E-4</v>
      </c>
      <c r="AW29" s="95">
        <v>1.225E-3</v>
      </c>
      <c r="AX29" s="95">
        <v>1.1034E-3</v>
      </c>
      <c r="AY29" s="95">
        <v>1.601E-3</v>
      </c>
      <c r="AZ29" s="101">
        <v>1.2899999999999999E-3</v>
      </c>
      <c r="BA29" s="101" t="s">
        <v>22</v>
      </c>
      <c r="BB29" s="95">
        <v>2.3E-3</v>
      </c>
      <c r="BC29" s="95"/>
      <c r="BD29" s="95">
        <v>1.1328452544406105E-3</v>
      </c>
      <c r="BE29" s="95">
        <v>1.1020681934055102E-3</v>
      </c>
      <c r="BF29" s="95">
        <v>1.0797585728836896E-3</v>
      </c>
      <c r="BG29" s="101">
        <v>1.051224346618352E-3</v>
      </c>
      <c r="BH29" s="95">
        <v>5.5900000000000004E-4</v>
      </c>
      <c r="BI29" s="101">
        <v>6.1000000000000004E-3</v>
      </c>
      <c r="BJ29" s="95">
        <v>1.84E-4</v>
      </c>
      <c r="BK29" s="95">
        <v>3.01E-4</v>
      </c>
      <c r="BL29" s="95">
        <v>2.722E-3</v>
      </c>
      <c r="BM29" s="102">
        <v>1.859E-3</v>
      </c>
      <c r="BN29" s="95">
        <v>1.485E-3</v>
      </c>
      <c r="BO29" s="101">
        <v>1.467E-3</v>
      </c>
      <c r="BP29" s="101">
        <v>1.351E-3</v>
      </c>
      <c r="BQ29" s="101">
        <v>1.4139999999999999E-3</v>
      </c>
      <c r="BR29" s="101">
        <v>2.81E-4</v>
      </c>
      <c r="BS29" s="101">
        <v>4.6299999999999998E-4</v>
      </c>
      <c r="BT29" s="95">
        <v>9.3000000000000005E-4</v>
      </c>
      <c r="BU29" s="95">
        <v>1.25E-3</v>
      </c>
      <c r="BV29" s="97">
        <v>0</v>
      </c>
      <c r="BW29" s="97">
        <v>0.16471779391802965</v>
      </c>
      <c r="BX29" s="97">
        <v>0.24099999999999999</v>
      </c>
      <c r="BY29" s="97">
        <v>0.106</v>
      </c>
      <c r="BZ29" s="96">
        <v>0.11409999999999999</v>
      </c>
      <c r="CA29" s="97"/>
      <c r="CB29" s="97"/>
      <c r="CC29" s="97"/>
      <c r="CD29" s="97">
        <v>2.5999999999999999E-2</v>
      </c>
      <c r="CE29" s="97">
        <v>5.0000000000000002E-5</v>
      </c>
      <c r="CF29" s="97">
        <v>0</v>
      </c>
      <c r="CG29" s="96"/>
      <c r="CH29" s="96">
        <v>0.11409999999999999</v>
      </c>
      <c r="CI29" s="95">
        <v>5.7200000000000003E-4</v>
      </c>
      <c r="CJ29" s="95">
        <v>3.3E-4</v>
      </c>
      <c r="CK29" s="101">
        <v>4.5500000000000002E-3</v>
      </c>
      <c r="CL29" s="96">
        <v>0.1825</v>
      </c>
      <c r="CM29" s="101">
        <v>1.1100000000000001E-3</v>
      </c>
      <c r="CN29" s="101">
        <v>6.7000000000000002E-3</v>
      </c>
      <c r="CO29" s="95">
        <v>2.0000000000000001E-4</v>
      </c>
      <c r="CP29" s="95">
        <v>1.1E-4</v>
      </c>
      <c r="CQ29" s="101"/>
      <c r="CR29" s="95"/>
      <c r="CS29" s="95">
        <v>0</v>
      </c>
      <c r="CT29" s="95">
        <v>1.8E-3</v>
      </c>
      <c r="CU29" s="95">
        <v>1.1999999999999999E-3</v>
      </c>
      <c r="CV29" s="95">
        <v>3.8000000000000002E-4</v>
      </c>
      <c r="CW29" s="95">
        <v>2.5000000000000001E-4</v>
      </c>
      <c r="CX29" s="95"/>
      <c r="CY29" s="104">
        <v>6.44</v>
      </c>
      <c r="CZ29" s="104">
        <v>4.0650000000000004</v>
      </c>
      <c r="DA29" s="104">
        <v>0</v>
      </c>
      <c r="DB29" s="104">
        <v>6.16</v>
      </c>
      <c r="DC29" s="104">
        <v>6.65</v>
      </c>
      <c r="DD29" s="104">
        <v>6.51</v>
      </c>
    </row>
    <row r="30" spans="1:108">
      <c r="A30" s="54">
        <v>18</v>
      </c>
      <c r="B30" s="95">
        <v>1.32E-3</v>
      </c>
      <c r="C30" s="95">
        <v>7.7300000000000008E-3</v>
      </c>
      <c r="D30" s="96">
        <v>2.1900000000000001E-4</v>
      </c>
      <c r="E30" s="96">
        <v>4.6299999999999998E-4</v>
      </c>
      <c r="F30" s="95">
        <v>2.4399999999999999E-4</v>
      </c>
      <c r="G30" s="95">
        <v>5.1000000000000004E-4</v>
      </c>
      <c r="H30" s="95">
        <v>3.3399999999999999E-4</v>
      </c>
      <c r="I30" s="95">
        <v>5.8399999999999999E-4</v>
      </c>
      <c r="J30" s="95">
        <v>5.8399999999999999E-4</v>
      </c>
      <c r="K30" s="95">
        <v>5.1699999999999999E-4</v>
      </c>
      <c r="L30" s="95">
        <v>4.6999999999999999E-4</v>
      </c>
      <c r="M30" s="95">
        <v>2.5500000000000002E-4</v>
      </c>
      <c r="N30" s="95">
        <v>2.2900000000000001E-4</v>
      </c>
      <c r="O30" s="95">
        <v>5.2300000000000003E-4</v>
      </c>
      <c r="P30" s="95">
        <v>4.7199999999999998E-4</v>
      </c>
      <c r="Q30" s="97">
        <v>3.6999999999999999E-4</v>
      </c>
      <c r="R30" s="97">
        <v>8.9999999999999998E-4</v>
      </c>
      <c r="S30" s="97">
        <v>3.1E-4</v>
      </c>
      <c r="T30" s="97">
        <v>6.6E-4</v>
      </c>
      <c r="U30" s="98">
        <v>2.2440000000000001E-4</v>
      </c>
      <c r="V30" s="99">
        <v>8.9630000000000005E-4</v>
      </c>
      <c r="W30" s="98">
        <v>1.708E-4</v>
      </c>
      <c r="X30" s="99">
        <v>3.7399999999999998E-4</v>
      </c>
      <c r="Y30" s="100">
        <v>4.0026280000000003E-4</v>
      </c>
      <c r="Z30" s="100">
        <v>7.5159429999999995E-4</v>
      </c>
      <c r="AA30" s="100">
        <v>3.1560779999999998E-4</v>
      </c>
      <c r="AB30" s="100">
        <v>6.4615859999999996E-4</v>
      </c>
      <c r="AC30" s="95">
        <v>1.99E-3</v>
      </c>
      <c r="AD30" s="95">
        <v>2.3E-3</v>
      </c>
      <c r="AE30" s="95">
        <v>1.6900000000000001E-3</v>
      </c>
      <c r="AF30" s="95">
        <v>1.5E-3</v>
      </c>
      <c r="AG30" s="95">
        <v>1.4599999999999999E-3</v>
      </c>
      <c r="AH30" s="95">
        <v>1.7149999999999999E-3</v>
      </c>
      <c r="AI30" s="95">
        <v>1.6900000000000001E-3</v>
      </c>
      <c r="AJ30" s="95">
        <v>5.5999999999999995E-4</v>
      </c>
      <c r="AK30" s="95">
        <v>7.6000000000000004E-4</v>
      </c>
      <c r="AL30" s="95">
        <v>1.7800000000000001E-3</v>
      </c>
      <c r="AM30" s="97">
        <v>1.3140000000000001E-3</v>
      </c>
      <c r="AN30" s="95">
        <v>2.31E-4</v>
      </c>
      <c r="AO30" s="95">
        <v>4.7100000000000001E-4</v>
      </c>
      <c r="AP30" s="101">
        <v>1.6799999999999999E-4</v>
      </c>
      <c r="AQ30" s="101">
        <v>1.8699999999999999E-4</v>
      </c>
      <c r="AR30" s="101">
        <v>3.9199999999999999E-4</v>
      </c>
      <c r="AS30" s="101">
        <v>3.5300000000000002E-4</v>
      </c>
      <c r="AT30" s="101">
        <v>2.7300000000000002E-4</v>
      </c>
      <c r="AU30" s="101">
        <v>4.6000000000000001E-4</v>
      </c>
      <c r="AV30" s="95">
        <v>3.392E-4</v>
      </c>
      <c r="AW30" s="95">
        <v>1.24E-3</v>
      </c>
      <c r="AX30" s="95">
        <v>1.1156E-3</v>
      </c>
      <c r="AY30" s="95">
        <v>1.5950000000000001E-3</v>
      </c>
      <c r="AZ30" s="101">
        <v>1.291E-3</v>
      </c>
      <c r="BA30" s="101" t="s">
        <v>24</v>
      </c>
      <c r="BB30" s="95">
        <v>2.31E-3</v>
      </c>
      <c r="BC30" s="95"/>
      <c r="BD30" s="95">
        <v>1.2784365184282899E-3</v>
      </c>
      <c r="BE30" s="95">
        <v>1.2440643726630699E-3</v>
      </c>
      <c r="BF30" s="95">
        <v>1.2202562421503944E-3</v>
      </c>
      <c r="BG30" s="101">
        <v>1.1879156738373638E-3</v>
      </c>
      <c r="BH30" s="95">
        <v>5.7600000000000001E-4</v>
      </c>
      <c r="BI30" s="101">
        <v>6.4799999999999996E-3</v>
      </c>
      <c r="BJ30" s="95">
        <v>1.8799999999999999E-4</v>
      </c>
      <c r="BK30" s="95">
        <v>3.1599999999999998E-4</v>
      </c>
      <c r="BL30" s="95">
        <v>2.771E-3</v>
      </c>
      <c r="BM30" s="102">
        <v>1.918E-3</v>
      </c>
      <c r="BN30" s="95">
        <v>1.529E-3</v>
      </c>
      <c r="BO30" s="101">
        <v>1.4530000000000001E-3</v>
      </c>
      <c r="BP30" s="101">
        <v>1.3110000000000001E-3</v>
      </c>
      <c r="BQ30" s="101">
        <v>1.3849999999999999E-3</v>
      </c>
      <c r="BR30" s="101">
        <v>2.9300000000000002E-4</v>
      </c>
      <c r="BS30" s="101">
        <v>4.95E-4</v>
      </c>
      <c r="BT30" s="95">
        <v>1.0200000000000001E-3</v>
      </c>
      <c r="BU30" s="95">
        <v>1.34E-3</v>
      </c>
      <c r="BV30" s="97">
        <v>0</v>
      </c>
      <c r="BW30" s="97">
        <v>0.15998558632914994</v>
      </c>
      <c r="BX30" s="97">
        <v>0.22900000000000001</v>
      </c>
      <c r="BY30" s="97">
        <v>0.1037</v>
      </c>
      <c r="BZ30" s="96">
        <v>0.11</v>
      </c>
      <c r="CA30" s="97"/>
      <c r="CB30" s="97"/>
      <c r="CC30" s="97"/>
      <c r="CD30" s="97">
        <v>2.5999999999999999E-2</v>
      </c>
      <c r="CE30" s="97">
        <v>5.0000000000000002E-5</v>
      </c>
      <c r="CF30" s="97">
        <v>0</v>
      </c>
      <c r="CG30" s="96"/>
      <c r="CH30" s="96">
        <v>0.11</v>
      </c>
      <c r="CI30" s="95">
        <v>5.6999999999999998E-4</v>
      </c>
      <c r="CJ30" s="95">
        <v>3.5E-4</v>
      </c>
      <c r="CK30" s="101">
        <v>4.4799999999999996E-3</v>
      </c>
      <c r="CL30" s="96">
        <v>0.1467</v>
      </c>
      <c r="CM30" s="101">
        <v>1.16E-3</v>
      </c>
      <c r="CN30" s="101">
        <v>6.4999999999999997E-3</v>
      </c>
      <c r="CO30" s="95">
        <v>2.5000000000000001E-4</v>
      </c>
      <c r="CP30" s="95">
        <v>1.2999999999999999E-4</v>
      </c>
      <c r="CQ30" s="101"/>
      <c r="CR30" s="95"/>
      <c r="CS30" s="95">
        <v>0</v>
      </c>
      <c r="CT30" s="95">
        <v>1.8E-3</v>
      </c>
      <c r="CU30" s="95">
        <v>1.1999999999999999E-3</v>
      </c>
      <c r="CV30" s="95">
        <v>4.0000000000000002E-4</v>
      </c>
      <c r="CW30" s="95">
        <v>2.5999999999999998E-4</v>
      </c>
      <c r="CX30" s="95"/>
      <c r="CY30" s="104">
        <v>6.2160000000000002</v>
      </c>
      <c r="CZ30" s="104">
        <v>4.1399999999999997</v>
      </c>
      <c r="DA30" s="104">
        <v>0</v>
      </c>
      <c r="DB30" s="104">
        <v>6.02</v>
      </c>
      <c r="DC30" s="104">
        <v>6.36</v>
      </c>
      <c r="DD30" s="104">
        <v>6.61</v>
      </c>
    </row>
    <row r="31" spans="1:108">
      <c r="A31" s="54">
        <v>19</v>
      </c>
      <c r="B31" s="95">
        <v>1.3500000000000001E-3</v>
      </c>
      <c r="C31" s="95">
        <v>7.77E-3</v>
      </c>
      <c r="D31" s="96">
        <v>2.34E-4</v>
      </c>
      <c r="E31" s="96">
        <v>4.8000000000000001E-4</v>
      </c>
      <c r="F31" s="95">
        <v>2.5999999999999998E-4</v>
      </c>
      <c r="G31" s="95">
        <v>5.2800000000000004E-4</v>
      </c>
      <c r="H31" s="95">
        <v>3.5399999999999999E-4</v>
      </c>
      <c r="I31" s="95">
        <v>6.0300000000000002E-4</v>
      </c>
      <c r="J31" s="95">
        <v>6.0300000000000002E-4</v>
      </c>
      <c r="K31" s="95">
        <v>5.3400000000000008E-4</v>
      </c>
      <c r="L31" s="95">
        <v>4.8999999999999998E-4</v>
      </c>
      <c r="M31" s="95">
        <v>2.7099999999999997E-4</v>
      </c>
      <c r="N31" s="95">
        <v>2.4399999999999999E-4</v>
      </c>
      <c r="O31" s="95">
        <v>5.4000000000000001E-4</v>
      </c>
      <c r="P31" s="95">
        <v>4.8799999999999999E-4</v>
      </c>
      <c r="Q31" s="97">
        <v>3.6999999999999999E-4</v>
      </c>
      <c r="R31" s="97">
        <v>1.01E-3</v>
      </c>
      <c r="S31" s="97">
        <v>2.9999999999999997E-4</v>
      </c>
      <c r="T31" s="97">
        <v>7.3999999999999999E-4</v>
      </c>
      <c r="U31" s="98">
        <v>2.8059999999999999E-4</v>
      </c>
      <c r="V31" s="99">
        <v>1.0702000000000001E-3</v>
      </c>
      <c r="W31" s="98">
        <v>2.0350000000000001E-4</v>
      </c>
      <c r="X31" s="99">
        <v>4.9089999999999995E-4</v>
      </c>
      <c r="Y31" s="100">
        <v>4.141746E-4</v>
      </c>
      <c r="Z31" s="100">
        <v>8.3288730000000003E-4</v>
      </c>
      <c r="AA31" s="100">
        <v>3.234593E-4</v>
      </c>
      <c r="AB31" s="100">
        <v>7.2655120000000004E-4</v>
      </c>
      <c r="AC31" s="95">
        <v>2.0300000000000001E-3</v>
      </c>
      <c r="AD31" s="95">
        <v>2.3700000000000001E-3</v>
      </c>
      <c r="AE31" s="95">
        <v>1.74E-3</v>
      </c>
      <c r="AF31" s="95">
        <v>1.58E-3</v>
      </c>
      <c r="AG31" s="95">
        <v>1.5399999999999999E-3</v>
      </c>
      <c r="AH31" s="95">
        <v>1.7649E-3</v>
      </c>
      <c r="AI31" s="95">
        <v>1.74E-3</v>
      </c>
      <c r="AJ31" s="95">
        <v>6.3000000000000003E-4</v>
      </c>
      <c r="AK31" s="95">
        <v>8.0000000000000004E-4</v>
      </c>
      <c r="AL31" s="95">
        <v>1.8600000000000001E-3</v>
      </c>
      <c r="AM31" s="97">
        <v>1.325E-3</v>
      </c>
      <c r="AN31" s="95">
        <v>2.4499999999999999E-4</v>
      </c>
      <c r="AO31" s="95">
        <v>4.86E-4</v>
      </c>
      <c r="AP31" s="101">
        <v>1.7899999999999999E-4</v>
      </c>
      <c r="AQ31" s="101">
        <v>1.9900000000000001E-4</v>
      </c>
      <c r="AR31" s="101">
        <v>4.0499999999999998E-4</v>
      </c>
      <c r="AS31" s="101">
        <v>3.6499999999999998E-4</v>
      </c>
      <c r="AT31" s="101">
        <v>2.7999999999999998E-4</v>
      </c>
      <c r="AU31" s="101">
        <v>4.84E-4</v>
      </c>
      <c r="AV31" s="95">
        <v>3.3030000000000001E-4</v>
      </c>
      <c r="AW31" s="95">
        <v>1.255E-3</v>
      </c>
      <c r="AX31" s="95">
        <v>1.1278E-3</v>
      </c>
      <c r="AY31" s="95">
        <v>1.5789999999999999E-3</v>
      </c>
      <c r="AZ31" s="101">
        <v>1.292E-3</v>
      </c>
      <c r="BA31" s="101" t="s">
        <v>25</v>
      </c>
      <c r="BB31" s="95">
        <v>2.32E-3</v>
      </c>
      <c r="BC31" s="95"/>
      <c r="BD31" s="95">
        <v>1.4030720800636521E-3</v>
      </c>
      <c r="BE31" s="95">
        <v>1.3654321132875518E-3</v>
      </c>
      <c r="BF31" s="95">
        <v>1.3413434391714094E-3</v>
      </c>
      <c r="BG31" s="101">
        <v>1.3041893908203725E-3</v>
      </c>
      <c r="BH31" s="95">
        <v>5.9400000000000002E-4</v>
      </c>
      <c r="BI31" s="101">
        <v>6.7499999999999999E-3</v>
      </c>
      <c r="BJ31" s="95">
        <v>1.9000000000000001E-4</v>
      </c>
      <c r="BK31" s="95">
        <v>3.3100000000000002E-4</v>
      </c>
      <c r="BL31" s="95">
        <v>2.826E-3</v>
      </c>
      <c r="BM31" s="102">
        <v>1.9250000000000001E-3</v>
      </c>
      <c r="BN31" s="95">
        <v>1.5790000000000001E-3</v>
      </c>
      <c r="BO31" s="101">
        <v>1.4369999999999999E-3</v>
      </c>
      <c r="BP31" s="101">
        <v>1.2669999999999999E-3</v>
      </c>
      <c r="BQ31" s="101">
        <v>1.351E-3</v>
      </c>
      <c r="BR31" s="101">
        <v>3.01E-4</v>
      </c>
      <c r="BS31" s="101">
        <v>5.2099999999999998E-4</v>
      </c>
      <c r="BT31" s="95">
        <v>1.08E-3</v>
      </c>
      <c r="BU31" s="95">
        <v>1.41E-3</v>
      </c>
      <c r="BV31" s="97">
        <v>0</v>
      </c>
      <c r="BW31" s="97">
        <v>0.15537936316970014</v>
      </c>
      <c r="BX31" s="97">
        <v>0.217</v>
      </c>
      <c r="BY31" s="97">
        <v>0.10150000000000001</v>
      </c>
      <c r="BZ31" s="96">
        <v>0.106</v>
      </c>
      <c r="CA31" s="97"/>
      <c r="CB31" s="97"/>
      <c r="CC31" s="97"/>
      <c r="CD31" s="97">
        <v>2.5999999999999999E-2</v>
      </c>
      <c r="CE31" s="97">
        <v>5.0000000000000002E-5</v>
      </c>
      <c r="CF31" s="97">
        <v>0</v>
      </c>
      <c r="CG31" s="96"/>
      <c r="CH31" s="96">
        <v>0.106</v>
      </c>
      <c r="CI31" s="95">
        <v>5.6899999999999995E-4</v>
      </c>
      <c r="CJ31" s="95">
        <v>3.8000000000000002E-4</v>
      </c>
      <c r="CK31" s="101">
        <v>4.4099999999999999E-3</v>
      </c>
      <c r="CL31" s="96">
        <v>0.1174</v>
      </c>
      <c r="CM31" s="101">
        <v>1.2099999999999999E-3</v>
      </c>
      <c r="CN31" s="101">
        <v>6.3E-3</v>
      </c>
      <c r="CO31" s="95">
        <v>2.9999999999999997E-4</v>
      </c>
      <c r="CP31" s="95">
        <v>1.6000000000000001E-4</v>
      </c>
      <c r="CQ31" s="101"/>
      <c r="CR31" s="95"/>
      <c r="CS31" s="95">
        <v>0</v>
      </c>
      <c r="CT31" s="95">
        <v>1.8E-3</v>
      </c>
      <c r="CU31" s="95">
        <v>1.1999999999999999E-3</v>
      </c>
      <c r="CV31" s="95">
        <v>4.2999999999999999E-4</v>
      </c>
      <c r="CW31" s="95">
        <v>2.7999999999999998E-4</v>
      </c>
      <c r="CX31" s="95"/>
      <c r="CY31" s="104">
        <v>5.9130000000000003</v>
      </c>
      <c r="CZ31" s="104">
        <v>4.25</v>
      </c>
      <c r="DA31" s="104">
        <v>0</v>
      </c>
      <c r="DB31" s="104">
        <v>5.89</v>
      </c>
      <c r="DC31" s="104">
        <v>5.9</v>
      </c>
      <c r="DD31" s="104">
        <v>6.69</v>
      </c>
    </row>
    <row r="32" spans="1:108">
      <c r="A32" s="54">
        <v>20</v>
      </c>
      <c r="B32" s="95">
        <v>1.32E-3</v>
      </c>
      <c r="C32" s="95">
        <v>7.7999999999999996E-3</v>
      </c>
      <c r="D32" s="96">
        <v>2.5000000000000001E-4</v>
      </c>
      <c r="E32" s="96">
        <v>4.9899999999999999E-4</v>
      </c>
      <c r="F32" s="95">
        <v>2.7700000000000001E-4</v>
      </c>
      <c r="G32" s="95">
        <v>5.4900000000000001E-4</v>
      </c>
      <c r="H32" s="95">
        <v>3.7599999999999998E-4</v>
      </c>
      <c r="I32" s="95">
        <v>6.2399999999999999E-4</v>
      </c>
      <c r="J32" s="95">
        <v>6.2399999999999999E-4</v>
      </c>
      <c r="K32" s="95">
        <v>5.53E-4</v>
      </c>
      <c r="L32" s="95">
        <v>5.0000000000000001E-4</v>
      </c>
      <c r="M32" s="95">
        <v>2.8800000000000001E-4</v>
      </c>
      <c r="N32" s="95">
        <v>2.5999999999999998E-4</v>
      </c>
      <c r="O32" s="95">
        <v>5.5900000000000004E-4</v>
      </c>
      <c r="P32" s="95">
        <v>5.0500000000000002E-4</v>
      </c>
      <c r="Q32" s="97">
        <v>3.6999999999999999E-4</v>
      </c>
      <c r="R32" s="97">
        <v>1.1000000000000001E-3</v>
      </c>
      <c r="S32" s="97">
        <v>2.9999999999999997E-4</v>
      </c>
      <c r="T32" s="97">
        <v>8.0000000000000004E-4</v>
      </c>
      <c r="U32" s="98">
        <v>3.3070000000000002E-4</v>
      </c>
      <c r="V32" s="99">
        <v>1.1605999999999999E-3</v>
      </c>
      <c r="W32" s="98">
        <v>2.3130000000000001E-4</v>
      </c>
      <c r="X32" s="99">
        <v>6.045E-4</v>
      </c>
      <c r="Y32" s="100">
        <v>4.229018E-4</v>
      </c>
      <c r="Z32" s="100">
        <v>9.0207109999999998E-4</v>
      </c>
      <c r="AA32" s="100">
        <v>3.2833830000000001E-4</v>
      </c>
      <c r="AB32" s="100">
        <v>7.9317910000000001E-4</v>
      </c>
      <c r="AC32" s="95">
        <v>2.0899999999999998E-3</v>
      </c>
      <c r="AD32" s="95">
        <v>2.4299999999999999E-3</v>
      </c>
      <c r="AE32" s="95">
        <v>1.7899999999999999E-3</v>
      </c>
      <c r="AF32" s="95">
        <v>1.6548999999999999E-3</v>
      </c>
      <c r="AG32" s="95">
        <v>1.6199999999999999E-3</v>
      </c>
      <c r="AH32" s="95">
        <v>1.81E-3</v>
      </c>
      <c r="AI32" s="95">
        <v>1.7899999999999999E-3</v>
      </c>
      <c r="AJ32" s="95">
        <v>6.9999999999999999E-4</v>
      </c>
      <c r="AK32" s="95">
        <v>8.4000000000000003E-4</v>
      </c>
      <c r="AL32" s="95">
        <v>1.9E-3</v>
      </c>
      <c r="AM32" s="97">
        <v>1.3359999999999999E-3</v>
      </c>
      <c r="AN32" s="95">
        <v>2.5999999999999998E-4</v>
      </c>
      <c r="AO32" s="95">
        <v>5.0299999999999997E-4</v>
      </c>
      <c r="AP32" s="101">
        <v>1.8900000000000001E-4</v>
      </c>
      <c r="AQ32" s="101">
        <v>2.1000000000000001E-4</v>
      </c>
      <c r="AR32" s="101">
        <v>4.1899999999999999E-4</v>
      </c>
      <c r="AS32" s="101">
        <v>3.77E-4</v>
      </c>
      <c r="AT32" s="101">
        <v>2.8400000000000002E-4</v>
      </c>
      <c r="AU32" s="101">
        <v>5.0699999999999996E-4</v>
      </c>
      <c r="AV32" s="95">
        <v>3.2620000000000001E-4</v>
      </c>
      <c r="AW32" s="95">
        <v>1.2700000000000001E-3</v>
      </c>
      <c r="AX32" s="95">
        <v>1.14E-3</v>
      </c>
      <c r="AY32" s="95">
        <v>1.5499999999999999E-3</v>
      </c>
      <c r="AZ32" s="101">
        <v>1.294E-3</v>
      </c>
      <c r="BA32" s="101" t="s">
        <v>26</v>
      </c>
      <c r="BB32" s="95">
        <v>2.33E-3</v>
      </c>
      <c r="BC32" s="95">
        <v>8.9599999999999992E-3</v>
      </c>
      <c r="BD32" s="95">
        <v>1.5302893916049301E-3</v>
      </c>
      <c r="BE32" s="95">
        <v>1.4893475085957745E-3</v>
      </c>
      <c r="BF32" s="95">
        <v>1.465320719875679E-3</v>
      </c>
      <c r="BG32" s="101">
        <v>1.4229449804529051E-3</v>
      </c>
      <c r="BH32" s="95">
        <v>6.1399999999999996E-4</v>
      </c>
      <c r="BI32" s="101">
        <v>6.8999999999999999E-3</v>
      </c>
      <c r="BJ32" s="95">
        <v>1.9100000000000001E-4</v>
      </c>
      <c r="BK32" s="95">
        <v>3.4499999999999998E-4</v>
      </c>
      <c r="BL32" s="95">
        <v>2.8860000000000001E-3</v>
      </c>
      <c r="BM32" s="102">
        <v>1.9319999999999999E-3</v>
      </c>
      <c r="BN32" s="95">
        <v>1.6329999999999999E-3</v>
      </c>
      <c r="BO32" s="101">
        <v>1.4139999999999999E-3</v>
      </c>
      <c r="BP32" s="101">
        <v>1.219E-3</v>
      </c>
      <c r="BQ32" s="101">
        <v>1.3110000000000001E-3</v>
      </c>
      <c r="BR32" s="101">
        <v>3.0499999999999999E-4</v>
      </c>
      <c r="BS32" s="101">
        <v>5.4500000000000002E-4</v>
      </c>
      <c r="BT32" s="95">
        <v>1.15E-3</v>
      </c>
      <c r="BU32" s="95">
        <v>1.4599999999999999E-3</v>
      </c>
      <c r="BV32" s="97">
        <v>0.10440000000000001</v>
      </c>
      <c r="BW32" s="97">
        <v>0.15089762343661328</v>
      </c>
      <c r="BX32" s="97">
        <v>0.20499999999999999</v>
      </c>
      <c r="BY32" s="97">
        <v>9.9400000000000002E-2</v>
      </c>
      <c r="BZ32" s="96">
        <v>0.10199999999999999</v>
      </c>
      <c r="CA32" s="97">
        <v>0.1</v>
      </c>
      <c r="CB32" s="97"/>
      <c r="CC32" s="97"/>
      <c r="CD32" s="97">
        <v>2.5999999999999999E-2</v>
      </c>
      <c r="CE32" s="97">
        <v>5.0000000000000002E-5</v>
      </c>
      <c r="CF32" s="97">
        <v>8.3999999999999995E-3</v>
      </c>
      <c r="CG32" s="96">
        <v>0.10199999999999999</v>
      </c>
      <c r="CH32" s="96">
        <v>0.10199999999999999</v>
      </c>
      <c r="CI32" s="95">
        <v>5.6899999999999995E-4</v>
      </c>
      <c r="CJ32" s="95">
        <v>4.0000000000000002E-4</v>
      </c>
      <c r="CK32" s="101">
        <v>4.3499999999999997E-3</v>
      </c>
      <c r="CL32" s="96">
        <v>9.6699999999999994E-2</v>
      </c>
      <c r="CM32" s="101">
        <v>1.23E-3</v>
      </c>
      <c r="CN32" s="101">
        <v>6.1999999999999998E-3</v>
      </c>
      <c r="CO32" s="95">
        <v>3.6000000000000002E-4</v>
      </c>
      <c r="CP32" s="95">
        <v>1.9000000000000001E-4</v>
      </c>
      <c r="CQ32" s="101">
        <v>7.6000000000000004E-4</v>
      </c>
      <c r="CR32" s="95"/>
      <c r="CS32" s="95">
        <v>4.0000000000000003E-5</v>
      </c>
      <c r="CT32" s="95">
        <v>1.8E-3</v>
      </c>
      <c r="CU32" s="95">
        <v>1.1999999999999999E-3</v>
      </c>
      <c r="CV32" s="95">
        <v>4.6000000000000001E-4</v>
      </c>
      <c r="CW32" s="95">
        <v>2.9999999999999997E-4</v>
      </c>
      <c r="CX32" s="95">
        <v>2.0000000000000001E-4</v>
      </c>
      <c r="CY32" s="104">
        <v>5.6980000000000004</v>
      </c>
      <c r="CZ32" s="104">
        <v>4.3650000000000002</v>
      </c>
      <c r="DA32" s="104">
        <v>4.5</v>
      </c>
      <c r="DB32" s="104">
        <v>5.78</v>
      </c>
      <c r="DC32" s="104">
        <v>5.39</v>
      </c>
      <c r="DD32" s="104">
        <v>6.77</v>
      </c>
    </row>
    <row r="33" spans="1:108">
      <c r="A33" s="54">
        <v>21</v>
      </c>
      <c r="B33" s="95">
        <v>1.2800000000000001E-3</v>
      </c>
      <c r="C33" s="95">
        <v>7.8600000000000007E-3</v>
      </c>
      <c r="D33" s="96">
        <v>2.6499999999999999E-4</v>
      </c>
      <c r="E33" s="96">
        <v>5.1900000000000004E-4</v>
      </c>
      <c r="F33" s="95">
        <v>2.9399999999999999E-4</v>
      </c>
      <c r="G33" s="95">
        <v>5.7300000000000005E-4</v>
      </c>
      <c r="H33" s="95">
        <v>3.9800000000000002E-4</v>
      </c>
      <c r="I33" s="95">
        <v>6.4800000000000003E-4</v>
      </c>
      <c r="J33" s="95">
        <v>6.4800000000000003E-4</v>
      </c>
      <c r="K33" s="95">
        <v>5.7399999999999997E-4</v>
      </c>
      <c r="L33" s="95">
        <v>5.2000000000000006E-4</v>
      </c>
      <c r="M33" s="95">
        <v>3.0600000000000001E-4</v>
      </c>
      <c r="N33" s="95">
        <v>2.7599999999999999E-4</v>
      </c>
      <c r="O33" s="95">
        <v>5.8100000000000003E-4</v>
      </c>
      <c r="P33" s="95">
        <v>5.2499999999999997E-4</v>
      </c>
      <c r="Q33" s="97">
        <v>3.6000000000000002E-4</v>
      </c>
      <c r="R33" s="97">
        <v>1.17E-3</v>
      </c>
      <c r="S33" s="97">
        <v>2.9999999999999997E-4</v>
      </c>
      <c r="T33" s="97">
        <v>8.4999999999999995E-4</v>
      </c>
      <c r="U33" s="98">
        <v>3.6529999999999999E-4</v>
      </c>
      <c r="V33" s="99">
        <v>1.1613999999999999E-3</v>
      </c>
      <c r="W33" s="98">
        <v>2.52E-4</v>
      </c>
      <c r="X33" s="99">
        <v>7.069E-4</v>
      </c>
      <c r="Y33" s="100">
        <v>4.2754540000000001E-4</v>
      </c>
      <c r="Z33" s="100">
        <v>9.5699510000000002E-4</v>
      </c>
      <c r="AA33" s="100">
        <v>3.308993E-4</v>
      </c>
      <c r="AB33" s="100">
        <v>8.4371190000000001E-4</v>
      </c>
      <c r="AC33" s="95">
        <v>2.14E-3</v>
      </c>
      <c r="AD33" s="95">
        <v>2.5100000000000001E-3</v>
      </c>
      <c r="AE33" s="95">
        <v>1.83E-3</v>
      </c>
      <c r="AF33" s="95">
        <v>1.7149999999999999E-3</v>
      </c>
      <c r="AG33" s="95">
        <v>1.6900000000000001E-3</v>
      </c>
      <c r="AH33" s="95">
        <v>1.8449E-3</v>
      </c>
      <c r="AI33" s="95">
        <v>1.83E-3</v>
      </c>
      <c r="AJ33" s="95">
        <v>7.6000000000000004E-4</v>
      </c>
      <c r="AK33" s="95">
        <v>8.7000000000000001E-4</v>
      </c>
      <c r="AL33" s="95">
        <v>1.91E-3</v>
      </c>
      <c r="AM33" s="97">
        <v>1.3470000000000001E-3</v>
      </c>
      <c r="AN33" s="95">
        <v>2.7500000000000002E-4</v>
      </c>
      <c r="AO33" s="95">
        <v>5.22E-4</v>
      </c>
      <c r="AP33" s="101">
        <v>2.0100000000000001E-4</v>
      </c>
      <c r="AQ33" s="101">
        <v>2.23E-4</v>
      </c>
      <c r="AR33" s="101">
        <v>4.35E-4</v>
      </c>
      <c r="AS33" s="101">
        <v>3.9199999999999999E-4</v>
      </c>
      <c r="AT33" s="101">
        <v>2.8600000000000001E-4</v>
      </c>
      <c r="AU33" s="101">
        <v>5.2999999999999998E-4</v>
      </c>
      <c r="AV33" s="95">
        <v>3.3639999999999999E-4</v>
      </c>
      <c r="AW33" s="95">
        <v>1.2849999999999999E-3</v>
      </c>
      <c r="AX33" s="95">
        <v>1.1521999999999999E-3</v>
      </c>
      <c r="AY33" s="95">
        <v>1.5089999999999999E-3</v>
      </c>
      <c r="AZ33" s="101">
        <v>1.2949999999999999E-3</v>
      </c>
      <c r="BA33" s="101" t="s">
        <v>27</v>
      </c>
      <c r="BB33" s="95">
        <v>2.3400000000000001E-3</v>
      </c>
      <c r="BC33" s="95">
        <v>9.0100000000000006E-3</v>
      </c>
      <c r="BD33" s="95">
        <v>1.6573302328054503E-3</v>
      </c>
      <c r="BE33" s="95">
        <v>1.6300060187225851E-3</v>
      </c>
      <c r="BF33" s="95">
        <v>1.5884270707967301E-3</v>
      </c>
      <c r="BG33" s="101">
        <v>1.5412810212859715E-3</v>
      </c>
      <c r="BH33" s="95">
        <v>6.3599999999999996E-4</v>
      </c>
      <c r="BI33" s="101">
        <v>6.9199999999999999E-3</v>
      </c>
      <c r="BJ33" s="95">
        <v>1.92E-4</v>
      </c>
      <c r="BK33" s="95">
        <v>3.57E-4</v>
      </c>
      <c r="BL33" s="95">
        <v>2.9529999999999999E-3</v>
      </c>
      <c r="BM33" s="102">
        <v>1.939E-3</v>
      </c>
      <c r="BN33" s="95">
        <v>1.6930000000000001E-3</v>
      </c>
      <c r="BO33" s="101">
        <v>1.3849999999999999E-3</v>
      </c>
      <c r="BP33" s="101">
        <v>1.1670000000000001E-3</v>
      </c>
      <c r="BQ33" s="101">
        <v>1.2669999999999999E-3</v>
      </c>
      <c r="BR33" s="101">
        <v>3.0800000000000001E-4</v>
      </c>
      <c r="BS33" s="101">
        <v>5.6999999999999998E-4</v>
      </c>
      <c r="BT33" s="95">
        <v>1.2199999999999999E-3</v>
      </c>
      <c r="BU33" s="95">
        <v>1.49E-3</v>
      </c>
      <c r="BV33" s="97">
        <v>0.10050000000000001</v>
      </c>
      <c r="BW33" s="97">
        <v>0.1465388942936291</v>
      </c>
      <c r="BX33" s="97">
        <v>0.193</v>
      </c>
      <c r="BY33" s="97">
        <v>9.7299999999999998E-2</v>
      </c>
      <c r="BZ33" s="96">
        <v>9.8100000000000007E-2</v>
      </c>
      <c r="CA33" s="97">
        <v>0.1</v>
      </c>
      <c r="CB33" s="97">
        <v>7.45E-3</v>
      </c>
      <c r="CC33" s="97">
        <v>2.2571000000000001E-2</v>
      </c>
      <c r="CD33" s="97">
        <v>2.5999999999999999E-2</v>
      </c>
      <c r="CE33" s="97">
        <v>5.0000000000000002E-5</v>
      </c>
      <c r="CF33" s="97">
        <v>8.5299999999999994E-3</v>
      </c>
      <c r="CG33" s="96">
        <v>9.8100000000000007E-2</v>
      </c>
      <c r="CH33" s="96">
        <v>9.8100000000000007E-2</v>
      </c>
      <c r="CI33" s="95">
        <v>5.6899999999999995E-4</v>
      </c>
      <c r="CJ33" s="95">
        <v>4.2999999999999999E-4</v>
      </c>
      <c r="CK33" s="101">
        <v>4.3E-3</v>
      </c>
      <c r="CL33" s="96">
        <v>8.2400000000000001E-2</v>
      </c>
      <c r="CM33" s="101">
        <v>1.2899999999999999E-3</v>
      </c>
      <c r="CN33" s="101">
        <v>6.0000000000000001E-3</v>
      </c>
      <c r="CO33" s="95">
        <v>4.2999999999999999E-4</v>
      </c>
      <c r="CP33" s="95">
        <v>2.3000000000000001E-4</v>
      </c>
      <c r="CQ33" s="101">
        <v>8.1999999999999998E-4</v>
      </c>
      <c r="CR33" s="95"/>
      <c r="CS33" s="95">
        <v>8.0000000000000007E-5</v>
      </c>
      <c r="CT33" s="95">
        <v>1.8E-3</v>
      </c>
      <c r="CU33" s="95">
        <v>1.1999999999999999E-3</v>
      </c>
      <c r="CV33" s="95">
        <v>4.8999999999999998E-4</v>
      </c>
      <c r="CW33" s="95">
        <v>3.1E-4</v>
      </c>
      <c r="CX33" s="95">
        <v>2.3000000000000001E-4</v>
      </c>
      <c r="CY33" s="104">
        <v>5.516</v>
      </c>
      <c r="CZ33" s="104">
        <v>4.4950000000000001</v>
      </c>
      <c r="DA33" s="104">
        <v>4.55</v>
      </c>
      <c r="DB33" s="104">
        <v>5.68</v>
      </c>
      <c r="DC33" s="104">
        <v>5.12</v>
      </c>
      <c r="DD33" s="104">
        <v>6.87</v>
      </c>
    </row>
    <row r="34" spans="1:108">
      <c r="A34" s="54">
        <v>22</v>
      </c>
      <c r="B34" s="95">
        <v>1.1199999999999999E-3</v>
      </c>
      <c r="C34" s="95">
        <v>7.9100000000000004E-3</v>
      </c>
      <c r="D34" s="96">
        <v>2.81E-4</v>
      </c>
      <c r="E34" s="96">
        <v>5.4199999999999995E-4</v>
      </c>
      <c r="F34" s="95">
        <v>3.1199999999999999E-4</v>
      </c>
      <c r="G34" s="95">
        <v>5.9900000000000003E-4</v>
      </c>
      <c r="H34" s="95">
        <v>4.2099999999999999E-4</v>
      </c>
      <c r="I34" s="95">
        <v>6.7400000000000001E-4</v>
      </c>
      <c r="J34" s="95">
        <v>6.7400000000000001E-4</v>
      </c>
      <c r="K34" s="95">
        <v>5.9699999999999998E-4</v>
      </c>
      <c r="L34" s="95">
        <v>5.4000000000000001E-4</v>
      </c>
      <c r="M34" s="95">
        <v>3.2499999999999999E-4</v>
      </c>
      <c r="N34" s="95">
        <v>2.9300000000000002E-4</v>
      </c>
      <c r="O34" s="95">
        <v>6.0499999999999996E-4</v>
      </c>
      <c r="P34" s="95">
        <v>5.4600000000000004E-4</v>
      </c>
      <c r="Q34" s="97">
        <v>3.6000000000000002E-4</v>
      </c>
      <c r="R34" s="97">
        <v>1.2199999999999999E-3</v>
      </c>
      <c r="S34" s="97">
        <v>2.9E-4</v>
      </c>
      <c r="T34" s="97">
        <v>8.8999999999999995E-4</v>
      </c>
      <c r="U34" s="98">
        <v>3.8929999999999998E-4</v>
      </c>
      <c r="V34" s="99">
        <v>1.1613999999999999E-3</v>
      </c>
      <c r="W34" s="98">
        <v>2.7260000000000001E-4</v>
      </c>
      <c r="X34" s="99">
        <v>7.6230000000000004E-4</v>
      </c>
      <c r="Y34" s="100">
        <v>4.2950390000000001E-4</v>
      </c>
      <c r="Z34" s="100">
        <v>9.9762229999999998E-4</v>
      </c>
      <c r="AA34" s="100">
        <v>3.3191070000000001E-4</v>
      </c>
      <c r="AB34" s="100">
        <v>8.7650209999999996E-4</v>
      </c>
      <c r="AC34" s="95">
        <v>2.1800000000000001E-3</v>
      </c>
      <c r="AD34" s="95">
        <v>2.5899999999999999E-3</v>
      </c>
      <c r="AE34" s="95">
        <v>1.8600000000000001E-3</v>
      </c>
      <c r="AF34" s="95">
        <v>1.7649E-3</v>
      </c>
      <c r="AG34" s="95">
        <v>1.74E-3</v>
      </c>
      <c r="AH34" s="95">
        <v>1.8749000000000001E-3</v>
      </c>
      <c r="AI34" s="95">
        <v>1.8600000000000001E-3</v>
      </c>
      <c r="AJ34" s="95">
        <v>8.0000000000000004E-4</v>
      </c>
      <c r="AK34" s="95">
        <v>8.8999999999999995E-4</v>
      </c>
      <c r="AL34" s="95">
        <v>1.89E-3</v>
      </c>
      <c r="AM34" s="97">
        <v>1.358E-3</v>
      </c>
      <c r="AN34" s="95">
        <v>2.92E-4</v>
      </c>
      <c r="AO34" s="95">
        <v>5.44E-4</v>
      </c>
      <c r="AP34" s="101">
        <v>2.12E-4</v>
      </c>
      <c r="AQ34" s="101">
        <v>2.3599999999999999E-4</v>
      </c>
      <c r="AR34" s="101">
        <v>4.5300000000000001E-4</v>
      </c>
      <c r="AS34" s="101">
        <v>4.08E-4</v>
      </c>
      <c r="AT34" s="101">
        <v>2.8899999999999998E-4</v>
      </c>
      <c r="AU34" s="101">
        <v>5.5599999999999996E-4</v>
      </c>
      <c r="AV34" s="95">
        <v>3.613E-4</v>
      </c>
      <c r="AW34" s="95">
        <v>1.2999999999999999E-3</v>
      </c>
      <c r="AX34" s="95">
        <v>1.1643999999999999E-3</v>
      </c>
      <c r="AY34" s="95">
        <v>1.464E-3</v>
      </c>
      <c r="AZ34" s="101">
        <v>1.2960000000000001E-3</v>
      </c>
      <c r="BA34" s="101" t="s">
        <v>28</v>
      </c>
      <c r="BB34" s="95">
        <v>2.3600000000000001E-3</v>
      </c>
      <c r="BC34" s="95">
        <v>9.0699999999999999E-3</v>
      </c>
      <c r="BD34" s="95">
        <v>1.7557966608123571E-3</v>
      </c>
      <c r="BE34" s="95">
        <v>1.7267925613125745E-3</v>
      </c>
      <c r="BF34" s="95">
        <v>1.6823498685536965E-3</v>
      </c>
      <c r="BG34" s="101">
        <v>1.6313466999816565E-3</v>
      </c>
      <c r="BH34" s="95">
        <v>6.6100000000000002E-4</v>
      </c>
      <c r="BI34" s="101">
        <v>6.8100000000000001E-3</v>
      </c>
      <c r="BJ34" s="95">
        <v>1.94E-4</v>
      </c>
      <c r="BK34" s="95">
        <v>3.6600000000000001E-4</v>
      </c>
      <c r="BL34" s="95">
        <v>3.0270000000000002E-3</v>
      </c>
      <c r="BM34" s="102">
        <v>1.946E-3</v>
      </c>
      <c r="BN34" s="95">
        <v>1.758E-3</v>
      </c>
      <c r="BO34" s="101">
        <v>1.351E-3</v>
      </c>
      <c r="BP34" s="101">
        <v>1.1490000000000001E-3</v>
      </c>
      <c r="BQ34" s="101">
        <v>1.219E-3</v>
      </c>
      <c r="BR34" s="101">
        <v>3.1100000000000002E-4</v>
      </c>
      <c r="BS34" s="101">
        <v>5.9800000000000001E-4</v>
      </c>
      <c r="BT34" s="95">
        <v>1.2700000000000001E-3</v>
      </c>
      <c r="BU34" s="95">
        <v>1.5200000000000001E-3</v>
      </c>
      <c r="BV34" s="97">
        <v>9.6600000000000005E-2</v>
      </c>
      <c r="BW34" s="97">
        <v>0.14230173734519325</v>
      </c>
      <c r="BX34" s="97">
        <v>0.182</v>
      </c>
      <c r="BY34" s="97">
        <v>9.5200000000000007E-2</v>
      </c>
      <c r="BZ34" s="96">
        <v>9.4299999999999995E-2</v>
      </c>
      <c r="CA34" s="97">
        <v>0.1</v>
      </c>
      <c r="CB34" s="97">
        <v>7.45E-3</v>
      </c>
      <c r="CC34" s="97">
        <v>2.2571000000000001E-2</v>
      </c>
      <c r="CD34" s="97">
        <v>2.5999999999999999E-2</v>
      </c>
      <c r="CE34" s="97">
        <v>5.0000000000000002E-5</v>
      </c>
      <c r="CF34" s="97">
        <v>8.7200000000000003E-3</v>
      </c>
      <c r="CG34" s="96">
        <v>9.4299999999999995E-2</v>
      </c>
      <c r="CH34" s="96">
        <v>9.4299999999999995E-2</v>
      </c>
      <c r="CI34" s="95">
        <v>5.6899999999999995E-4</v>
      </c>
      <c r="CJ34" s="95">
        <v>4.6000000000000001E-4</v>
      </c>
      <c r="CK34" s="101">
        <v>4.2399999999999998E-3</v>
      </c>
      <c r="CL34" s="96">
        <v>7.2800000000000004E-2</v>
      </c>
      <c r="CM34" s="101">
        <v>1.32E-3</v>
      </c>
      <c r="CN34" s="101">
        <v>5.8999999999999999E-3</v>
      </c>
      <c r="CO34" s="95">
        <v>5.1000000000000004E-4</v>
      </c>
      <c r="CP34" s="95">
        <v>2.7E-4</v>
      </c>
      <c r="CQ34" s="101">
        <v>8.8000000000000003E-4</v>
      </c>
      <c r="CR34" s="95"/>
      <c r="CS34" s="95">
        <v>1.1E-4</v>
      </c>
      <c r="CT34" s="95">
        <v>1.8E-3</v>
      </c>
      <c r="CU34" s="95">
        <v>1.1999999999999999E-3</v>
      </c>
      <c r="CV34" s="95">
        <v>5.1999999999999995E-4</v>
      </c>
      <c r="CW34" s="95">
        <v>3.4000000000000002E-4</v>
      </c>
      <c r="CX34" s="95">
        <v>2.5999999999999998E-4</v>
      </c>
      <c r="CY34" s="104">
        <v>5.4109999999999996</v>
      </c>
      <c r="CZ34" s="104">
        <v>4.6040000000000001</v>
      </c>
      <c r="DA34" s="104">
        <v>4.5999999999999996</v>
      </c>
      <c r="DB34" s="104">
        <v>5.6</v>
      </c>
      <c r="DC34" s="104">
        <v>4.96</v>
      </c>
      <c r="DD34" s="104">
        <v>6.97</v>
      </c>
    </row>
    <row r="35" spans="1:108">
      <c r="A35" s="54">
        <v>23</v>
      </c>
      <c r="B35" s="95">
        <v>1.17E-3</v>
      </c>
      <c r="C35" s="95">
        <v>7.9600000000000001E-3</v>
      </c>
      <c r="D35" s="96">
        <v>2.9799999999999998E-4</v>
      </c>
      <c r="E35" s="96">
        <v>5.6599999999999999E-4</v>
      </c>
      <c r="F35" s="95">
        <v>3.3E-4</v>
      </c>
      <c r="G35" s="95">
        <v>6.2699999999999995E-4</v>
      </c>
      <c r="H35" s="95">
        <v>4.46E-4</v>
      </c>
      <c r="I35" s="95">
        <v>7.0200000000000004E-4</v>
      </c>
      <c r="J35" s="95">
        <v>7.0199999999999993E-4</v>
      </c>
      <c r="K35" s="95">
        <v>6.2200000000000005E-4</v>
      </c>
      <c r="L35" s="95">
        <v>5.6999999999999998E-4</v>
      </c>
      <c r="M35" s="95">
        <v>3.4499999999999998E-4</v>
      </c>
      <c r="N35" s="95">
        <v>3.1100000000000002E-4</v>
      </c>
      <c r="O35" s="95">
        <v>6.3199999999999997E-4</v>
      </c>
      <c r="P35" s="95">
        <v>5.6999999999999998E-4</v>
      </c>
      <c r="Q35" s="97">
        <v>3.5E-4</v>
      </c>
      <c r="R35" s="97">
        <v>1.25E-3</v>
      </c>
      <c r="S35" s="97">
        <v>2.9E-4</v>
      </c>
      <c r="T35" s="97">
        <v>9.2000000000000003E-4</v>
      </c>
      <c r="U35" s="98">
        <v>4.0000000000000002E-4</v>
      </c>
      <c r="V35" s="99">
        <v>1.1071E-3</v>
      </c>
      <c r="W35" s="98">
        <v>2.8699999999999998E-4</v>
      </c>
      <c r="X35" s="99">
        <v>7.8169999999999997E-4</v>
      </c>
      <c r="Y35" s="100">
        <v>4.303008E-4</v>
      </c>
      <c r="Z35" s="100">
        <v>1.0248766000000001E-3</v>
      </c>
      <c r="AA35" s="100">
        <v>3.3198020000000002E-4</v>
      </c>
      <c r="AB35" s="100">
        <v>8.922445E-4</v>
      </c>
      <c r="AC35" s="95">
        <v>2.2100000000000002E-3</v>
      </c>
      <c r="AD35" s="95">
        <v>2.6800000000000001E-3</v>
      </c>
      <c r="AE35" s="95">
        <v>1.89E-3</v>
      </c>
      <c r="AF35" s="95">
        <v>1.81E-3</v>
      </c>
      <c r="AG35" s="95">
        <v>1.7899999999999999E-3</v>
      </c>
      <c r="AH35" s="95">
        <v>1.9E-3</v>
      </c>
      <c r="AI35" s="95">
        <v>1.89E-3</v>
      </c>
      <c r="AJ35" s="95">
        <v>8.4000000000000003E-4</v>
      </c>
      <c r="AK35" s="95">
        <v>9.1E-4</v>
      </c>
      <c r="AL35" s="95">
        <v>1.8600000000000001E-3</v>
      </c>
      <c r="AM35" s="97">
        <v>1.3600000000000001E-3</v>
      </c>
      <c r="AN35" s="95">
        <v>3.0899999999999998E-4</v>
      </c>
      <c r="AO35" s="95">
        <v>5.6599999999999999E-4</v>
      </c>
      <c r="AP35" s="101">
        <v>2.2499999999999999E-4</v>
      </c>
      <c r="AQ35" s="101">
        <v>2.5000000000000001E-4</v>
      </c>
      <c r="AR35" s="101">
        <v>4.7100000000000001E-4</v>
      </c>
      <c r="AS35" s="101">
        <v>4.2400000000000001E-4</v>
      </c>
      <c r="AT35" s="101">
        <v>2.92E-4</v>
      </c>
      <c r="AU35" s="101">
        <v>5.8900000000000001E-4</v>
      </c>
      <c r="AV35" s="95">
        <v>3.9100000000000002E-4</v>
      </c>
      <c r="AW35" s="95">
        <v>1.315E-3</v>
      </c>
      <c r="AX35" s="95">
        <v>1.1766000000000001E-3</v>
      </c>
      <c r="AY35" s="95">
        <v>1.4239999999999999E-3</v>
      </c>
      <c r="AZ35" s="101">
        <v>1.297E-3</v>
      </c>
      <c r="BA35" s="101" t="s">
        <v>29</v>
      </c>
      <c r="BB35" s="95">
        <v>2.3800000000000002E-3</v>
      </c>
      <c r="BC35" s="95">
        <v>9.1500000000000001E-3</v>
      </c>
      <c r="BD35" s="95">
        <v>1.817410368240084E-3</v>
      </c>
      <c r="BE35" s="95">
        <v>1.786198001654793E-3</v>
      </c>
      <c r="BF35" s="95">
        <v>1.7384884020271163E-3</v>
      </c>
      <c r="BG35" s="101">
        <v>1.6849846363695192E-3</v>
      </c>
      <c r="BH35" s="95">
        <v>6.8800000000000003E-4</v>
      </c>
      <c r="BI35" s="101">
        <v>6.62E-3</v>
      </c>
      <c r="BJ35" s="95">
        <v>1.9699999999999999E-4</v>
      </c>
      <c r="BK35" s="95">
        <v>3.7300000000000001E-4</v>
      </c>
      <c r="BL35" s="95">
        <v>3.1080000000000001E-3</v>
      </c>
      <c r="BM35" s="102">
        <v>1.946E-3</v>
      </c>
      <c r="BN35" s="95">
        <v>1.8309999999999999E-3</v>
      </c>
      <c r="BO35" s="101">
        <v>1.3110000000000001E-3</v>
      </c>
      <c r="BP35" s="101">
        <v>1.129E-3</v>
      </c>
      <c r="BQ35" s="101">
        <v>1.1670000000000001E-3</v>
      </c>
      <c r="BR35" s="101">
        <v>3.1300000000000002E-4</v>
      </c>
      <c r="BS35" s="101">
        <v>6.3299999999999999E-4</v>
      </c>
      <c r="BT35" s="95">
        <v>1.2800000000000001E-3</v>
      </c>
      <c r="BU35" s="95">
        <v>1.5399999999999999E-3</v>
      </c>
      <c r="BV35" s="97">
        <v>9.2700000000000005E-2</v>
      </c>
      <c r="BW35" s="97">
        <v>0.13818475484165305</v>
      </c>
      <c r="BX35" s="97">
        <v>0.17100000000000001</v>
      </c>
      <c r="BY35" s="97">
        <v>9.3299999999999994E-2</v>
      </c>
      <c r="BZ35" s="96">
        <v>9.0499999999999997E-2</v>
      </c>
      <c r="CA35" s="97">
        <v>0.1</v>
      </c>
      <c r="CB35" s="97">
        <v>7.45E-3</v>
      </c>
      <c r="CC35" s="97">
        <v>2.2571000000000001E-2</v>
      </c>
      <c r="CD35" s="97">
        <v>2.5999999999999999E-2</v>
      </c>
      <c r="CE35" s="97">
        <v>5.0000000000000002E-5</v>
      </c>
      <c r="CF35" s="97">
        <v>8.9099999999999995E-3</v>
      </c>
      <c r="CG35" s="96">
        <v>9.0499999999999997E-2</v>
      </c>
      <c r="CH35" s="96">
        <v>9.0499999999999997E-2</v>
      </c>
      <c r="CI35" s="95">
        <v>5.6999999999999998E-4</v>
      </c>
      <c r="CJ35" s="95">
        <v>4.8999999999999998E-4</v>
      </c>
      <c r="CK35" s="101">
        <v>4.1999999999999997E-3</v>
      </c>
      <c r="CL35" s="96">
        <v>6.6500000000000004E-2</v>
      </c>
      <c r="CM35" s="101">
        <v>1.3600000000000001E-3</v>
      </c>
      <c r="CN35" s="101">
        <v>5.7000000000000002E-3</v>
      </c>
      <c r="CO35" s="95">
        <v>5.9999999999999995E-4</v>
      </c>
      <c r="CP35" s="95">
        <v>3.2000000000000003E-4</v>
      </c>
      <c r="CQ35" s="101">
        <v>9.2000000000000003E-4</v>
      </c>
      <c r="CR35" s="95"/>
      <c r="CS35" s="95">
        <v>1.3999999999999999E-4</v>
      </c>
      <c r="CT35" s="95">
        <v>1.8E-3</v>
      </c>
      <c r="CU35" s="95">
        <v>1.1999999999999999E-3</v>
      </c>
      <c r="CV35" s="95">
        <v>5.5000000000000003E-4</v>
      </c>
      <c r="CW35" s="95">
        <v>3.6000000000000002E-4</v>
      </c>
      <c r="CX35" s="95">
        <v>2.9999999999999997E-4</v>
      </c>
      <c r="CY35" s="104">
        <v>5.383</v>
      </c>
      <c r="CZ35" s="104">
        <v>5</v>
      </c>
      <c r="DA35" s="104">
        <v>4.6399999999999997</v>
      </c>
      <c r="DB35" s="104">
        <v>5.53</v>
      </c>
      <c r="DC35" s="104">
        <v>4.88</v>
      </c>
      <c r="DD35" s="104">
        <v>7.08</v>
      </c>
    </row>
    <row r="36" spans="1:108">
      <c r="A36" s="54">
        <v>24</v>
      </c>
      <c r="B36" s="95">
        <v>1.14E-3</v>
      </c>
      <c r="C36" s="95">
        <v>8.0099999999999998E-3</v>
      </c>
      <c r="D36" s="96">
        <v>3.1399999999999999E-4</v>
      </c>
      <c r="E36" s="96">
        <v>5.9199999999999997E-4</v>
      </c>
      <c r="F36" s="95">
        <v>3.4900000000000003E-4</v>
      </c>
      <c r="G36" s="95">
        <v>6.5700000000000003E-4</v>
      </c>
      <c r="H36" s="95">
        <v>4.73E-4</v>
      </c>
      <c r="I36" s="95">
        <v>7.3300000000000004E-4</v>
      </c>
      <c r="J36" s="95">
        <v>7.3300000000000004E-4</v>
      </c>
      <c r="K36" s="95">
        <v>6.4900000000000005E-4</v>
      </c>
      <c r="L36" s="95">
        <v>5.8999999999999992E-4</v>
      </c>
      <c r="M36" s="95">
        <v>3.6600000000000001E-4</v>
      </c>
      <c r="N36" s="95">
        <v>3.3E-4</v>
      </c>
      <c r="O36" s="95">
        <v>6.6100000000000002E-4</v>
      </c>
      <c r="P36" s="95">
        <v>5.9599999999999996E-4</v>
      </c>
      <c r="Q36" s="97">
        <v>3.5E-4</v>
      </c>
      <c r="R36" s="97">
        <v>1.2700000000000001E-3</v>
      </c>
      <c r="S36" s="97">
        <v>2.9E-4</v>
      </c>
      <c r="T36" s="97">
        <v>9.3000000000000005E-4</v>
      </c>
      <c r="U36" s="98">
        <v>3.9800000000000002E-4</v>
      </c>
      <c r="V36" s="99">
        <v>1.0759999999999999E-3</v>
      </c>
      <c r="W36" s="98">
        <v>2.8719999999999999E-4</v>
      </c>
      <c r="X36" s="99">
        <v>7.7309999999999998E-4</v>
      </c>
      <c r="Y36" s="100">
        <v>4.3114439999999998E-4</v>
      </c>
      <c r="Z36" s="100">
        <v>1.0403836E-3</v>
      </c>
      <c r="AA36" s="100">
        <v>3.3185780000000002E-4</v>
      </c>
      <c r="AB36" s="100">
        <v>8.9500300000000001E-4</v>
      </c>
      <c r="AC36" s="95">
        <v>2.2399999999999998E-3</v>
      </c>
      <c r="AD36" s="95">
        <v>2.7699999999999999E-3</v>
      </c>
      <c r="AE36" s="95">
        <v>1.91E-3</v>
      </c>
      <c r="AF36" s="95">
        <v>1.8449E-3</v>
      </c>
      <c r="AG36" s="95">
        <v>1.83E-3</v>
      </c>
      <c r="AH36" s="95">
        <v>1.9199E-3</v>
      </c>
      <c r="AI36" s="95">
        <v>1.91E-3</v>
      </c>
      <c r="AJ36" s="95">
        <v>8.7000000000000001E-4</v>
      </c>
      <c r="AK36" s="95">
        <v>9.2000000000000003E-4</v>
      </c>
      <c r="AL36" s="95">
        <v>1.82E-3</v>
      </c>
      <c r="AM36" s="97">
        <v>1.371E-3</v>
      </c>
      <c r="AN36" s="95">
        <v>3.2699999999999998E-4</v>
      </c>
      <c r="AO36" s="95">
        <v>5.9100000000000005E-4</v>
      </c>
      <c r="AP36" s="101">
        <v>2.3900000000000001E-4</v>
      </c>
      <c r="AQ36" s="101">
        <v>2.6499999999999999E-4</v>
      </c>
      <c r="AR36" s="101">
        <v>4.9299999999999995E-4</v>
      </c>
      <c r="AS36" s="101">
        <v>4.44E-4</v>
      </c>
      <c r="AT36" s="101">
        <v>2.9100000000000003E-4</v>
      </c>
      <c r="AU36" s="101">
        <v>6.2399999999999999E-4</v>
      </c>
      <c r="AV36" s="95">
        <v>4.2129999999999999E-4</v>
      </c>
      <c r="AW36" s="95">
        <v>1.33E-3</v>
      </c>
      <c r="AX36" s="95">
        <v>1.1888000000000001E-3</v>
      </c>
      <c r="AY36" s="95">
        <v>1.3879999999999999E-3</v>
      </c>
      <c r="AZ36" s="101">
        <v>1.2979999999999999E-3</v>
      </c>
      <c r="BA36" s="101" t="s">
        <v>30</v>
      </c>
      <c r="BB36" s="95">
        <v>2.4099999999999998E-3</v>
      </c>
      <c r="BC36" s="95">
        <v>9.2099999999999994E-3</v>
      </c>
      <c r="BD36" s="95">
        <v>1.8520957428690232E-3</v>
      </c>
      <c r="BE36" s="95">
        <v>1.8182488645033111E-3</v>
      </c>
      <c r="BF36" s="95">
        <v>1.7670609581830227E-3</v>
      </c>
      <c r="BG36" s="101">
        <v>1.7120681638007835E-3</v>
      </c>
      <c r="BH36" s="95">
        <v>7.18E-4</v>
      </c>
      <c r="BI36" s="101">
        <v>6.4099999999999999E-3</v>
      </c>
      <c r="BJ36" s="95">
        <v>2.0100000000000001E-4</v>
      </c>
      <c r="BK36" s="95">
        <v>3.7599999999999998E-4</v>
      </c>
      <c r="BL36" s="95">
        <v>3.1979999999999999E-3</v>
      </c>
      <c r="BM36" s="102">
        <v>1.949E-3</v>
      </c>
      <c r="BN36" s="95">
        <v>1.9109999999999999E-3</v>
      </c>
      <c r="BO36" s="101">
        <v>1.2669999999999999E-3</v>
      </c>
      <c r="BP36" s="101">
        <v>1.1069999999999999E-3</v>
      </c>
      <c r="BQ36" s="101">
        <v>1.1490000000000001E-3</v>
      </c>
      <c r="BR36" s="101">
        <v>3.1300000000000002E-4</v>
      </c>
      <c r="BS36" s="101">
        <v>6.7100000000000005E-4</v>
      </c>
      <c r="BT36" s="95">
        <v>1.2700000000000001E-3</v>
      </c>
      <c r="BU36" s="95">
        <v>1.57E-3</v>
      </c>
      <c r="BV36" s="97">
        <v>8.8800000000000004E-2</v>
      </c>
      <c r="BW36" s="97">
        <v>0.13418659585210613</v>
      </c>
      <c r="BX36" s="97">
        <v>0.161</v>
      </c>
      <c r="BY36" s="97">
        <v>9.1399999999999995E-2</v>
      </c>
      <c r="BZ36" s="96">
        <v>8.6800000000000002E-2</v>
      </c>
      <c r="CA36" s="97">
        <v>0.1</v>
      </c>
      <c r="CB36" s="97">
        <v>7.45E-3</v>
      </c>
      <c r="CC36" s="97">
        <v>2.2571000000000001E-2</v>
      </c>
      <c r="CD36" s="97">
        <v>2.5999999999999999E-2</v>
      </c>
      <c r="CE36" s="97">
        <v>5.0000000000000002E-5</v>
      </c>
      <c r="CF36" s="97">
        <v>9.1000000000000004E-3</v>
      </c>
      <c r="CG36" s="96">
        <v>8.6800000000000002E-2</v>
      </c>
      <c r="CH36" s="96">
        <v>8.6800000000000002E-2</v>
      </c>
      <c r="CI36" s="95">
        <v>5.7200000000000003E-4</v>
      </c>
      <c r="CJ36" s="95">
        <v>5.1999999999999995E-4</v>
      </c>
      <c r="CK36" s="101">
        <v>4.15E-3</v>
      </c>
      <c r="CL36" s="96">
        <v>6.2E-2</v>
      </c>
      <c r="CM36" s="101">
        <v>1.3799999999999999E-3</v>
      </c>
      <c r="CN36" s="101">
        <v>5.5999999999999999E-3</v>
      </c>
      <c r="CO36" s="95">
        <v>6.9999999999999999E-4</v>
      </c>
      <c r="CP36" s="95">
        <v>3.6999999999999999E-4</v>
      </c>
      <c r="CQ36" s="101">
        <v>9.6000000000000002E-4</v>
      </c>
      <c r="CR36" s="95"/>
      <c r="CS36" s="95">
        <v>1.8000000000000001E-4</v>
      </c>
      <c r="CT36" s="95">
        <v>1.8E-3</v>
      </c>
      <c r="CU36" s="95">
        <v>1.1999999999999999E-3</v>
      </c>
      <c r="CV36" s="95">
        <v>5.8E-4</v>
      </c>
      <c r="CW36" s="95">
        <v>4.0000000000000002E-4</v>
      </c>
      <c r="CX36" s="95">
        <v>3.4000000000000002E-4</v>
      </c>
      <c r="CY36" s="104">
        <v>5.383</v>
      </c>
      <c r="CZ36" s="104">
        <v>5.2759999999999998</v>
      </c>
      <c r="DA36" s="104">
        <v>4.6900000000000004</v>
      </c>
      <c r="DB36" s="104">
        <v>5.47</v>
      </c>
      <c r="DC36" s="104">
        <v>4.8099999999999996</v>
      </c>
      <c r="DD36" s="104">
        <v>7.19</v>
      </c>
    </row>
    <row r="37" spans="1:108">
      <c r="A37" s="54">
        <v>25</v>
      </c>
      <c r="B37" s="95">
        <v>1.1199999999999999E-3</v>
      </c>
      <c r="C37" s="95">
        <v>8.0600000000000012E-3</v>
      </c>
      <c r="D37" s="96">
        <v>3.3100000000000002E-4</v>
      </c>
      <c r="E37" s="96">
        <v>6.1600000000000001E-4</v>
      </c>
      <c r="F37" s="95">
        <v>3.6699999999999998E-4</v>
      </c>
      <c r="G37" s="95">
        <v>6.8599999999999998E-4</v>
      </c>
      <c r="H37" s="95">
        <v>5.0100000000000003E-4</v>
      </c>
      <c r="I37" s="95">
        <v>7.6800000000000002E-4</v>
      </c>
      <c r="J37" s="95">
        <v>7.6800000000000002E-4</v>
      </c>
      <c r="K37" s="95">
        <v>6.7900000000000002E-4</v>
      </c>
      <c r="L37" s="95">
        <v>6.2E-4</v>
      </c>
      <c r="M37" s="95">
        <v>3.88E-4</v>
      </c>
      <c r="N37" s="95">
        <v>3.4900000000000003E-4</v>
      </c>
      <c r="O37" s="95">
        <v>6.9200000000000002E-4</v>
      </c>
      <c r="P37" s="95">
        <v>6.2200000000000005E-4</v>
      </c>
      <c r="Q37" s="97">
        <v>3.5E-4</v>
      </c>
      <c r="R37" s="97">
        <v>1.2700000000000001E-3</v>
      </c>
      <c r="S37" s="97">
        <v>2.9E-4</v>
      </c>
      <c r="T37" s="97">
        <v>9.3000000000000005E-4</v>
      </c>
      <c r="U37" s="98">
        <v>3.9209999999999999E-4</v>
      </c>
      <c r="V37" s="99">
        <v>1.0556999999999999E-3</v>
      </c>
      <c r="W37" s="98">
        <v>2.8830000000000001E-4</v>
      </c>
      <c r="X37" s="99">
        <v>7.5440000000000001E-4</v>
      </c>
      <c r="Y37" s="100">
        <v>4.332122E-4</v>
      </c>
      <c r="Z37" s="100">
        <v>1.0472051999999999E-3</v>
      </c>
      <c r="AA37" s="100">
        <v>3.3209450000000002E-4</v>
      </c>
      <c r="AB37" s="100">
        <v>8.8646329999999998E-4</v>
      </c>
      <c r="AC37" s="95">
        <v>2.2599999999999999E-3</v>
      </c>
      <c r="AD37" s="95">
        <v>2.8800000000000002E-3</v>
      </c>
      <c r="AE37" s="95">
        <v>1.9300000000000001E-3</v>
      </c>
      <c r="AF37" s="95">
        <v>1.8749000000000001E-3</v>
      </c>
      <c r="AG37" s="95">
        <v>1.8600000000000001E-3</v>
      </c>
      <c r="AH37" s="95">
        <v>1.9449999999999999E-3</v>
      </c>
      <c r="AI37" s="95">
        <v>1.9300000000000001E-3</v>
      </c>
      <c r="AJ37" s="95">
        <v>8.8999999999999995E-4</v>
      </c>
      <c r="AK37" s="95">
        <v>9.3000000000000005E-4</v>
      </c>
      <c r="AL37" s="95">
        <v>1.7700000000000001E-3</v>
      </c>
      <c r="AM37" s="97">
        <v>1.382E-3</v>
      </c>
      <c r="AN37" s="95">
        <v>3.4699999999999998E-4</v>
      </c>
      <c r="AO37" s="95">
        <v>6.1899999999999998E-4</v>
      </c>
      <c r="AP37" s="101">
        <v>2.5300000000000002E-4</v>
      </c>
      <c r="AQ37" s="101">
        <v>2.81E-4</v>
      </c>
      <c r="AR37" s="101">
        <v>5.1500000000000005E-4</v>
      </c>
      <c r="AS37" s="101">
        <v>4.64E-4</v>
      </c>
      <c r="AT37" s="101">
        <v>2.9100000000000003E-4</v>
      </c>
      <c r="AU37" s="101">
        <v>6.6100000000000002E-4</v>
      </c>
      <c r="AV37" s="95">
        <v>4.5140000000000002E-4</v>
      </c>
      <c r="AW37" s="95">
        <v>1.3450000000000001E-3</v>
      </c>
      <c r="AX37" s="95">
        <v>1.201E-3</v>
      </c>
      <c r="AY37" s="95">
        <v>1.3569999999999999E-3</v>
      </c>
      <c r="AZ37" s="101">
        <v>1.299E-3</v>
      </c>
      <c r="BA37" s="101" t="s">
        <v>31</v>
      </c>
      <c r="BB37" s="95">
        <v>2.4399999999999999E-3</v>
      </c>
      <c r="BC37" s="95">
        <v>9.2899999999999996E-3</v>
      </c>
      <c r="BD37" s="95">
        <v>1.8767840011146902E-3</v>
      </c>
      <c r="BE37" s="95">
        <v>1.8402543538687331E-3</v>
      </c>
      <c r="BF37" s="95">
        <v>1.7855767359101484E-3</v>
      </c>
      <c r="BG37" s="101">
        <v>1.7293849769966089E-3</v>
      </c>
      <c r="BH37" s="95">
        <v>7.5100000000000004E-4</v>
      </c>
      <c r="BI37" s="101">
        <v>6.2399999999999999E-3</v>
      </c>
      <c r="BJ37" s="95">
        <v>2.0699999999999999E-4</v>
      </c>
      <c r="BK37" s="95">
        <v>3.7599999999999998E-4</v>
      </c>
      <c r="BL37" s="95">
        <v>3.297E-3</v>
      </c>
      <c r="BM37" s="102">
        <v>1.9530000000000001E-3</v>
      </c>
      <c r="BN37" s="95">
        <v>1.9989999999999999E-3</v>
      </c>
      <c r="BO37" s="101">
        <v>1.219E-3</v>
      </c>
      <c r="BP37" s="101">
        <v>1.083E-3</v>
      </c>
      <c r="BQ37" s="101">
        <v>1.129E-3</v>
      </c>
      <c r="BR37" s="101">
        <v>3.1300000000000002E-4</v>
      </c>
      <c r="BS37" s="101">
        <v>7.1100000000000004E-4</v>
      </c>
      <c r="BT37" s="95">
        <v>1.2600000000000001E-3</v>
      </c>
      <c r="BU37" s="95">
        <v>1.5900000000000001E-3</v>
      </c>
      <c r="BV37" s="97">
        <v>8.4900000000000003E-2</v>
      </c>
      <c r="BW37" s="97">
        <v>0.13030596240218439</v>
      </c>
      <c r="BX37" s="97">
        <v>0.151</v>
      </c>
      <c r="BY37" s="97">
        <v>8.9499999999999996E-2</v>
      </c>
      <c r="BZ37" s="96">
        <v>8.3099999999999993E-2</v>
      </c>
      <c r="CA37" s="97">
        <v>0.1</v>
      </c>
      <c r="CB37" s="97">
        <v>7.45E-3</v>
      </c>
      <c r="CC37" s="97">
        <v>2.2571000000000001E-2</v>
      </c>
      <c r="CD37" s="97">
        <v>2.5999999999999999E-2</v>
      </c>
      <c r="CE37" s="97">
        <v>5.0000000000000002E-5</v>
      </c>
      <c r="CF37" s="97">
        <v>9.2999999999999992E-3</v>
      </c>
      <c r="CG37" s="96">
        <v>8.3099999999999993E-2</v>
      </c>
      <c r="CH37" s="96">
        <v>8.3099999999999993E-2</v>
      </c>
      <c r="CI37" s="95">
        <v>5.7499999999999999E-4</v>
      </c>
      <c r="CJ37" s="95">
        <v>5.4000000000000001E-4</v>
      </c>
      <c r="CK37" s="101">
        <v>4.1200000000000004E-3</v>
      </c>
      <c r="CL37" s="96">
        <v>6.0600000000000001E-2</v>
      </c>
      <c r="CM37" s="101">
        <v>1.39E-3</v>
      </c>
      <c r="CN37" s="101">
        <v>5.4999999999999997E-3</v>
      </c>
      <c r="CO37" s="95">
        <v>8.1999999999999998E-4</v>
      </c>
      <c r="CP37" s="95">
        <v>4.4000000000000002E-4</v>
      </c>
      <c r="CQ37" s="101">
        <v>1E-3</v>
      </c>
      <c r="CR37" s="95"/>
      <c r="CS37" s="95">
        <v>2.2000000000000001E-4</v>
      </c>
      <c r="CT37" s="95">
        <v>1.8E-3</v>
      </c>
      <c r="CU37" s="95">
        <v>1.1999999999999999E-3</v>
      </c>
      <c r="CV37" s="95">
        <v>6.0999999999999997E-4</v>
      </c>
      <c r="CW37" s="95">
        <v>4.2999999999999999E-4</v>
      </c>
      <c r="CX37" s="95">
        <v>3.8000000000000002E-4</v>
      </c>
      <c r="CY37" s="104">
        <v>5.4109999999999996</v>
      </c>
      <c r="CZ37" s="104">
        <v>5.4480000000000004</v>
      </c>
      <c r="DA37" s="104">
        <v>4.74</v>
      </c>
      <c r="DB37" s="104">
        <v>5.44</v>
      </c>
      <c r="DC37" s="104">
        <v>4.8499999999999996</v>
      </c>
      <c r="DD37" s="104">
        <v>7.32</v>
      </c>
    </row>
    <row r="38" spans="1:108">
      <c r="A38" s="54">
        <v>26</v>
      </c>
      <c r="B38" s="95">
        <v>1.1100000000000001E-3</v>
      </c>
      <c r="C38" s="95">
        <v>8.1300000000000001E-3</v>
      </c>
      <c r="D38" s="96">
        <v>3.4699999999999998E-4</v>
      </c>
      <c r="E38" s="96">
        <v>6.3900000000000003E-4</v>
      </c>
      <c r="F38" s="95">
        <v>3.8499999999999998E-4</v>
      </c>
      <c r="G38" s="95">
        <v>7.1400000000000001E-4</v>
      </c>
      <c r="H38" s="95">
        <v>5.31E-4</v>
      </c>
      <c r="I38" s="95">
        <v>8.0599999999999997E-4</v>
      </c>
      <c r="J38" s="95">
        <v>8.0600000000000008E-4</v>
      </c>
      <c r="K38" s="95">
        <v>7.1199999999999996E-4</v>
      </c>
      <c r="L38" s="95">
        <v>6.4999999999999997E-4</v>
      </c>
      <c r="M38" s="95">
        <v>4.0999999999999999E-4</v>
      </c>
      <c r="N38" s="95">
        <v>3.68E-4</v>
      </c>
      <c r="O38" s="95">
        <v>7.2400000000000003E-4</v>
      </c>
      <c r="P38" s="95">
        <v>6.4999999999999997E-4</v>
      </c>
      <c r="Q38" s="97">
        <v>3.6000000000000002E-4</v>
      </c>
      <c r="R38" s="97">
        <v>1.2700000000000001E-3</v>
      </c>
      <c r="S38" s="97">
        <v>2.9E-4</v>
      </c>
      <c r="T38" s="97">
        <v>9.3000000000000005E-4</v>
      </c>
      <c r="U38" s="98">
        <v>3.9970000000000001E-4</v>
      </c>
      <c r="V38" s="99">
        <v>1.0491000000000001E-3</v>
      </c>
      <c r="W38" s="98">
        <v>2.8949999999999999E-4</v>
      </c>
      <c r="X38" s="99">
        <v>7.3729999999999998E-4</v>
      </c>
      <c r="Y38" s="100">
        <v>4.3741910000000001E-4</v>
      </c>
      <c r="Z38" s="100">
        <v>1.0481314E-3</v>
      </c>
      <c r="AA38" s="100">
        <v>3.3331320000000003E-4</v>
      </c>
      <c r="AB38" s="100">
        <v>8.6978439999999999E-4</v>
      </c>
      <c r="AC38" s="95">
        <v>2.2799999999999999E-3</v>
      </c>
      <c r="AD38" s="95">
        <v>2.99E-3</v>
      </c>
      <c r="AE38" s="95">
        <v>1.9599999999999999E-3</v>
      </c>
      <c r="AF38" s="95">
        <v>1.9E-3</v>
      </c>
      <c r="AG38" s="95">
        <v>1.89E-3</v>
      </c>
      <c r="AH38" s="95">
        <v>1.9750000000000002E-3</v>
      </c>
      <c r="AI38" s="95">
        <v>1.9599999999999999E-3</v>
      </c>
      <c r="AJ38" s="95">
        <v>9.1E-4</v>
      </c>
      <c r="AK38" s="95">
        <v>9.5E-4</v>
      </c>
      <c r="AL38" s="95">
        <v>1.73E-3</v>
      </c>
      <c r="AM38" s="97">
        <v>1.402E-3</v>
      </c>
      <c r="AN38" s="95">
        <v>3.68E-4</v>
      </c>
      <c r="AO38" s="95">
        <v>6.4999999999999997E-4</v>
      </c>
      <c r="AP38" s="101">
        <v>2.6800000000000001E-4</v>
      </c>
      <c r="AQ38" s="101">
        <v>2.9799999999999998E-4</v>
      </c>
      <c r="AR38" s="101">
        <v>5.4199999999999995E-4</v>
      </c>
      <c r="AS38" s="101">
        <v>4.8799999999999999E-4</v>
      </c>
      <c r="AT38" s="101">
        <v>2.9399999999999999E-4</v>
      </c>
      <c r="AU38" s="101">
        <v>6.96E-4</v>
      </c>
      <c r="AV38" s="95">
        <v>4.819E-4</v>
      </c>
      <c r="AW38" s="95">
        <v>1.3600000000000001E-3</v>
      </c>
      <c r="AX38" s="95">
        <v>1.2132E-3</v>
      </c>
      <c r="AY38" s="95">
        <v>1.333E-3</v>
      </c>
      <c r="AZ38" s="101">
        <v>1.2999999999999999E-3</v>
      </c>
      <c r="BA38" s="101" t="s">
        <v>32</v>
      </c>
      <c r="BB38" s="95">
        <v>2.49E-3</v>
      </c>
      <c r="BC38" s="95">
        <v>9.3900000000000008E-3</v>
      </c>
      <c r="BD38" s="95">
        <v>1.9068230853825641E-3</v>
      </c>
      <c r="BE38" s="95">
        <v>1.8676074899277729E-3</v>
      </c>
      <c r="BF38" s="95">
        <v>1.809810112762664E-3</v>
      </c>
      <c r="BG38" s="101">
        <v>1.7521780051729416E-3</v>
      </c>
      <c r="BH38" s="95">
        <v>7.8700000000000005E-4</v>
      </c>
      <c r="BI38" s="101">
        <v>6.3E-3</v>
      </c>
      <c r="BJ38" s="95">
        <v>2.14E-4</v>
      </c>
      <c r="BK38" s="95">
        <v>3.7800000000000003E-4</v>
      </c>
      <c r="BL38" s="95">
        <v>3.4069999999999999E-3</v>
      </c>
      <c r="BM38" s="102">
        <v>1.9719999999999998E-3</v>
      </c>
      <c r="BN38" s="95">
        <v>2.0960000000000002E-3</v>
      </c>
      <c r="BO38" s="101">
        <v>1.1670000000000001E-3</v>
      </c>
      <c r="BP38" s="101">
        <v>1.0579999999999999E-3</v>
      </c>
      <c r="BQ38" s="101">
        <v>1.1069999999999999E-3</v>
      </c>
      <c r="BR38" s="101">
        <v>3.1599999999999998E-4</v>
      </c>
      <c r="BS38" s="101">
        <v>7.4899999999999999E-4</v>
      </c>
      <c r="BT38" s="95">
        <v>1.25E-3</v>
      </c>
      <c r="BU38" s="95">
        <v>1.6199999999999999E-3</v>
      </c>
      <c r="BV38" s="97">
        <v>8.1000000000000003E-2</v>
      </c>
      <c r="BW38" s="97">
        <v>0.1265416156201874</v>
      </c>
      <c r="BX38" s="97">
        <v>0.14099999999999999</v>
      </c>
      <c r="BY38" s="97">
        <v>8.77E-2</v>
      </c>
      <c r="BZ38" s="96">
        <v>7.9500000000000001E-2</v>
      </c>
      <c r="CA38" s="97">
        <v>0.1</v>
      </c>
      <c r="CB38" s="97">
        <v>7.45E-3</v>
      </c>
      <c r="CC38" s="97">
        <v>2.2571000000000001E-2</v>
      </c>
      <c r="CD38" s="97">
        <v>2.5999999999999999E-2</v>
      </c>
      <c r="CE38" s="97">
        <v>5.0000000000000002E-5</v>
      </c>
      <c r="CF38" s="97">
        <v>9.5099999999999994E-3</v>
      </c>
      <c r="CG38" s="96">
        <v>7.9500000000000001E-2</v>
      </c>
      <c r="CH38" s="96">
        <v>7.9500000000000001E-2</v>
      </c>
      <c r="CI38" s="95">
        <v>5.7899999999999998E-4</v>
      </c>
      <c r="CJ38" s="95">
        <v>5.5999999999999995E-4</v>
      </c>
      <c r="CK38" s="101">
        <v>4.0899999999999999E-3</v>
      </c>
      <c r="CL38" s="96">
        <v>5.9700000000000003E-2</v>
      </c>
      <c r="CM38" s="101">
        <v>1.4E-3</v>
      </c>
      <c r="CN38" s="101">
        <v>5.4000000000000003E-3</v>
      </c>
      <c r="CO38" s="95">
        <v>9.5E-4</v>
      </c>
      <c r="CP38" s="95">
        <v>5.1000000000000004E-4</v>
      </c>
      <c r="CQ38" s="101">
        <v>1.0200000000000001E-3</v>
      </c>
      <c r="CR38" s="95"/>
      <c r="CS38" s="95">
        <v>2.7E-4</v>
      </c>
      <c r="CT38" s="95">
        <v>1.8E-3</v>
      </c>
      <c r="CU38" s="95">
        <v>1.1999999999999999E-3</v>
      </c>
      <c r="CV38" s="95">
        <v>6.3000000000000003E-4</v>
      </c>
      <c r="CW38" s="95">
        <v>4.6999999999999999E-4</v>
      </c>
      <c r="CX38" s="95">
        <v>4.2999999999999999E-4</v>
      </c>
      <c r="CY38" s="104">
        <v>5.4320000000000004</v>
      </c>
      <c r="CZ38" s="104">
        <v>5.532</v>
      </c>
      <c r="DA38" s="104">
        <v>4.8099999999999996</v>
      </c>
      <c r="DB38" s="104">
        <v>5.42</v>
      </c>
      <c r="DC38" s="104">
        <v>4.88</v>
      </c>
      <c r="DD38" s="104">
        <v>7.15</v>
      </c>
    </row>
    <row r="39" spans="1:108">
      <c r="A39" s="54">
        <v>27</v>
      </c>
      <c r="B39" s="95">
        <v>1.1199999999999999E-3</v>
      </c>
      <c r="C39" s="95">
        <v>8.199999999999999E-3</v>
      </c>
      <c r="D39" s="96">
        <v>3.6200000000000002E-4</v>
      </c>
      <c r="E39" s="96">
        <v>6.5899999999999997E-4</v>
      </c>
      <c r="F39" s="95">
        <v>4.0299999999999998E-4</v>
      </c>
      <c r="G39" s="95">
        <v>7.3800000000000005E-4</v>
      </c>
      <c r="H39" s="95">
        <v>5.6300000000000002E-4</v>
      </c>
      <c r="I39" s="95">
        <v>8.4900000000000004E-4</v>
      </c>
      <c r="J39" s="95">
        <v>8.4899999999999993E-4</v>
      </c>
      <c r="K39" s="95">
        <v>7.4899999999999999E-4</v>
      </c>
      <c r="L39" s="95">
        <v>6.8000000000000005E-4</v>
      </c>
      <c r="M39" s="95">
        <v>4.3100000000000001E-4</v>
      </c>
      <c r="N39" s="95">
        <v>3.8699999999999997E-4</v>
      </c>
      <c r="O39" s="95">
        <v>7.5600000000000005E-4</v>
      </c>
      <c r="P39" s="95">
        <v>6.7699999999999998E-4</v>
      </c>
      <c r="Q39" s="97">
        <v>3.6999999999999999E-4</v>
      </c>
      <c r="R39" s="97">
        <v>1.2600000000000001E-3</v>
      </c>
      <c r="S39" s="97">
        <v>2.9999999999999997E-4</v>
      </c>
      <c r="T39" s="97">
        <v>9.2000000000000003E-4</v>
      </c>
      <c r="U39" s="98">
        <v>4.1280000000000001E-4</v>
      </c>
      <c r="V39" s="99">
        <v>1.0372999999999999E-3</v>
      </c>
      <c r="W39" s="98">
        <v>2.9779999999999997E-4</v>
      </c>
      <c r="X39" s="99">
        <v>7.2979999999999996E-4</v>
      </c>
      <c r="Y39" s="100">
        <v>4.4452640000000002E-4</v>
      </c>
      <c r="Z39" s="100">
        <v>1.0457511E-3</v>
      </c>
      <c r="AA39" s="100">
        <v>3.359096E-4</v>
      </c>
      <c r="AB39" s="100">
        <v>8.4982670000000005E-4</v>
      </c>
      <c r="AC39" s="95">
        <v>2.3E-3</v>
      </c>
      <c r="AD39" s="95">
        <v>3.1099999999999999E-3</v>
      </c>
      <c r="AE39" s="95">
        <v>1.99E-3</v>
      </c>
      <c r="AF39" s="95">
        <v>1.9199E-3</v>
      </c>
      <c r="AG39" s="95">
        <v>1.91E-3</v>
      </c>
      <c r="AH39" s="95">
        <v>2.0098999999999998E-3</v>
      </c>
      <c r="AI39" s="95">
        <v>1.99E-3</v>
      </c>
      <c r="AJ39" s="95">
        <v>9.2000000000000003E-4</v>
      </c>
      <c r="AK39" s="95">
        <v>9.7000000000000005E-4</v>
      </c>
      <c r="AL39" s="95">
        <v>1.7099999999999999E-3</v>
      </c>
      <c r="AM39" s="97">
        <v>1.413E-3</v>
      </c>
      <c r="AN39" s="95">
        <v>3.8999999999999999E-4</v>
      </c>
      <c r="AO39" s="95">
        <v>6.8400000000000004E-4</v>
      </c>
      <c r="AP39" s="101">
        <v>2.8400000000000002E-4</v>
      </c>
      <c r="AQ39" s="101">
        <v>3.1500000000000001E-4</v>
      </c>
      <c r="AR39" s="101">
        <v>5.6999999999999998E-4</v>
      </c>
      <c r="AS39" s="101">
        <v>5.13E-4</v>
      </c>
      <c r="AT39" s="101">
        <v>3.0200000000000002E-4</v>
      </c>
      <c r="AU39" s="101">
        <v>7.27E-4</v>
      </c>
      <c r="AV39" s="95">
        <v>5.1290000000000005E-4</v>
      </c>
      <c r="AW39" s="95">
        <v>1.3749999999999999E-3</v>
      </c>
      <c r="AX39" s="95">
        <v>1.2254E-3</v>
      </c>
      <c r="AY39" s="95">
        <v>1.3140000000000001E-3</v>
      </c>
      <c r="AZ39" s="101">
        <v>1.3010000000000001E-3</v>
      </c>
      <c r="BA39" s="101" t="s">
        <v>33</v>
      </c>
      <c r="BB39" s="95">
        <v>2.5400000000000002E-3</v>
      </c>
      <c r="BC39" s="95">
        <v>9.4800000000000006E-3</v>
      </c>
      <c r="BD39" s="95">
        <v>1.9450331129127543E-3</v>
      </c>
      <c r="BE39" s="95">
        <v>1.9140554414966231E-3</v>
      </c>
      <c r="BF39" s="95">
        <v>1.8425283612692161E-3</v>
      </c>
      <c r="BG39" s="101">
        <v>1.7833002392089168E-3</v>
      </c>
      <c r="BH39" s="95">
        <v>8.2799999999999996E-4</v>
      </c>
      <c r="BI39" s="101">
        <v>6.3800000000000003E-3</v>
      </c>
      <c r="BJ39" s="95">
        <v>2.23E-4</v>
      </c>
      <c r="BK39" s="95">
        <v>3.8200000000000002E-4</v>
      </c>
      <c r="BL39" s="95">
        <v>3.5270000000000002E-3</v>
      </c>
      <c r="BM39" s="102">
        <v>1.9780000000000002E-3</v>
      </c>
      <c r="BN39" s="95">
        <v>2.2039999999999998E-3</v>
      </c>
      <c r="BO39" s="101">
        <v>1.1490000000000001E-3</v>
      </c>
      <c r="BP39" s="101">
        <v>1.083E-3</v>
      </c>
      <c r="BQ39" s="101">
        <v>1.083E-3</v>
      </c>
      <c r="BR39" s="101">
        <v>3.2400000000000001E-4</v>
      </c>
      <c r="BS39" s="101">
        <v>7.8200000000000003E-4</v>
      </c>
      <c r="BT39" s="95">
        <v>1.2600000000000001E-3</v>
      </c>
      <c r="BU39" s="95">
        <v>1.66E-3</v>
      </c>
      <c r="BV39" s="97">
        <v>7.6899999999999996E-2</v>
      </c>
      <c r="BW39" s="97">
        <v>0.12289238189349483</v>
      </c>
      <c r="BX39" s="97">
        <v>0.13200000000000001</v>
      </c>
      <c r="BY39" s="97">
        <v>8.5999999999999993E-2</v>
      </c>
      <c r="BZ39" s="96">
        <v>7.5700000000000003E-2</v>
      </c>
      <c r="CA39" s="97">
        <v>0.1</v>
      </c>
      <c r="CB39" s="97">
        <v>7.45E-3</v>
      </c>
      <c r="CC39" s="97">
        <v>2.2571000000000001E-2</v>
      </c>
      <c r="CD39" s="97">
        <v>2.5999999999999999E-2</v>
      </c>
      <c r="CE39" s="97">
        <v>5.0000000000000002E-5</v>
      </c>
      <c r="CF39" s="97">
        <v>9.7300000000000008E-3</v>
      </c>
      <c r="CG39" s="96">
        <v>7.5700000000000003E-2</v>
      </c>
      <c r="CH39" s="96">
        <v>7.5700000000000003E-2</v>
      </c>
      <c r="CI39" s="95">
        <v>5.8299999999999997E-4</v>
      </c>
      <c r="CJ39" s="95">
        <v>5.8E-4</v>
      </c>
      <c r="CK39" s="101">
        <v>4.0699999999999998E-3</v>
      </c>
      <c r="CL39" s="96">
        <v>5.8799999999999998E-2</v>
      </c>
      <c r="CM39" s="101">
        <v>1.41E-3</v>
      </c>
      <c r="CN39" s="101">
        <v>5.3E-3</v>
      </c>
      <c r="CO39" s="95">
        <v>1.09E-3</v>
      </c>
      <c r="CP39" s="95">
        <v>5.8E-4</v>
      </c>
      <c r="CQ39" s="101">
        <v>1.0499999999999999E-3</v>
      </c>
      <c r="CR39" s="95"/>
      <c r="CS39" s="95">
        <v>3.3E-4</v>
      </c>
      <c r="CT39" s="95">
        <v>1.8E-3</v>
      </c>
      <c r="CU39" s="95">
        <v>1.1999999999999999E-3</v>
      </c>
      <c r="CV39" s="95">
        <v>6.4999999999999997E-4</v>
      </c>
      <c r="CW39" s="95">
        <v>5.1000000000000004E-4</v>
      </c>
      <c r="CX39" s="95">
        <v>4.8999999999999998E-4</v>
      </c>
      <c r="CY39" s="104">
        <v>5.4530000000000003</v>
      </c>
      <c r="CZ39" s="104">
        <v>5.5439999999999996</v>
      </c>
      <c r="DA39" s="104">
        <v>4.93</v>
      </c>
      <c r="DB39" s="104">
        <v>5.41</v>
      </c>
      <c r="DC39" s="104">
        <v>4.9800000000000004</v>
      </c>
      <c r="DD39" s="104">
        <v>7.59</v>
      </c>
    </row>
    <row r="40" spans="1:108">
      <c r="A40" s="54">
        <v>28</v>
      </c>
      <c r="B40" s="95">
        <v>1.15E-3</v>
      </c>
      <c r="C40" s="95">
        <v>8.26E-3</v>
      </c>
      <c r="D40" s="96">
        <v>3.7599999999999998E-4</v>
      </c>
      <c r="E40" s="96">
        <v>6.7500000000000004E-4</v>
      </c>
      <c r="F40" s="95">
        <v>4.1899999999999999E-4</v>
      </c>
      <c r="G40" s="95">
        <v>7.5799999999999999E-4</v>
      </c>
      <c r="H40" s="95">
        <v>5.9800000000000001E-4</v>
      </c>
      <c r="I40" s="95">
        <v>8.9599999999999999E-4</v>
      </c>
      <c r="J40" s="95">
        <v>8.9599999999999999E-4</v>
      </c>
      <c r="K40" s="95">
        <v>7.9100000000000004E-4</v>
      </c>
      <c r="L40" s="95">
        <v>7.1999999999999994E-4</v>
      </c>
      <c r="M40" s="95">
        <v>4.5199999999999998E-4</v>
      </c>
      <c r="N40" s="95">
        <v>4.0499999999999998E-4</v>
      </c>
      <c r="O40" s="95">
        <v>7.8799999999999996E-4</v>
      </c>
      <c r="P40" s="95">
        <v>7.0399999999999998E-4</v>
      </c>
      <c r="Q40" s="97">
        <v>3.8999999999999999E-4</v>
      </c>
      <c r="R40" s="97">
        <v>1.2600000000000001E-3</v>
      </c>
      <c r="S40" s="97">
        <v>3.2000000000000003E-4</v>
      </c>
      <c r="T40" s="97">
        <v>9.2000000000000003E-4</v>
      </c>
      <c r="U40" s="98">
        <v>4.3370000000000003E-4</v>
      </c>
      <c r="V40" s="99">
        <v>1.0233E-3</v>
      </c>
      <c r="W40" s="98">
        <v>3.144E-4</v>
      </c>
      <c r="X40" s="99">
        <v>7.2579999999999997E-4</v>
      </c>
      <c r="Y40" s="100">
        <v>4.5510750000000001E-4</v>
      </c>
      <c r="Z40" s="100">
        <v>1.0428245000000001E-3</v>
      </c>
      <c r="AA40" s="100">
        <v>3.4032579999999999E-4</v>
      </c>
      <c r="AB40" s="100">
        <v>8.2843499999999998E-4</v>
      </c>
      <c r="AC40" s="95">
        <v>2.33E-3</v>
      </c>
      <c r="AD40" s="95">
        <v>3.2499999999999999E-3</v>
      </c>
      <c r="AE40" s="95">
        <v>2.0300000000000001E-3</v>
      </c>
      <c r="AF40" s="95">
        <v>1.9449999999999999E-3</v>
      </c>
      <c r="AG40" s="95">
        <v>1.9300000000000001E-3</v>
      </c>
      <c r="AH40" s="95">
        <v>2.0549000000000001E-3</v>
      </c>
      <c r="AI40" s="95">
        <v>2.0300000000000001E-3</v>
      </c>
      <c r="AJ40" s="95">
        <v>9.3000000000000005E-4</v>
      </c>
      <c r="AK40" s="95">
        <v>1E-3</v>
      </c>
      <c r="AL40" s="95">
        <v>1.6999999999999999E-3</v>
      </c>
      <c r="AM40" s="97">
        <v>1.4519999999999999E-3</v>
      </c>
      <c r="AN40" s="95">
        <v>4.1399999999999998E-4</v>
      </c>
      <c r="AO40" s="95">
        <v>7.2199999999999999E-4</v>
      </c>
      <c r="AP40" s="101">
        <v>3.0200000000000002E-4</v>
      </c>
      <c r="AQ40" s="101">
        <v>3.3500000000000001E-4</v>
      </c>
      <c r="AR40" s="101">
        <v>6.02E-4</v>
      </c>
      <c r="AS40" s="101">
        <v>5.4199999999999995E-4</v>
      </c>
      <c r="AT40" s="101">
        <v>3.1399999999999999E-4</v>
      </c>
      <c r="AU40" s="101">
        <v>7.54E-4</v>
      </c>
      <c r="AV40" s="95">
        <v>5.4480000000000002E-4</v>
      </c>
      <c r="AW40" s="95">
        <v>1.39E-3</v>
      </c>
      <c r="AX40" s="95">
        <v>1.2375999999999999E-3</v>
      </c>
      <c r="AY40" s="95">
        <v>1.302E-3</v>
      </c>
      <c r="AZ40" s="101">
        <v>1.3029999999999999E-3</v>
      </c>
      <c r="BA40" s="101" t="s">
        <v>34</v>
      </c>
      <c r="BB40" s="95">
        <v>2.5999999999999999E-3</v>
      </c>
      <c r="BC40" s="95">
        <v>9.58E-3</v>
      </c>
      <c r="BD40" s="95">
        <v>1.9984982219796409E-3</v>
      </c>
      <c r="BE40" s="95">
        <v>1.9598739013625389E-3</v>
      </c>
      <c r="BF40" s="95">
        <v>1.8909630435945265E-3</v>
      </c>
      <c r="BG40" s="101">
        <v>1.8298000106234094E-3</v>
      </c>
      <c r="BH40" s="95">
        <v>8.7299999999999997E-4</v>
      </c>
      <c r="BI40" s="101">
        <v>6.4599999999999996E-3</v>
      </c>
      <c r="BJ40" s="95">
        <v>2.3499999999999999E-4</v>
      </c>
      <c r="BK40" s="95">
        <v>3.9300000000000001E-4</v>
      </c>
      <c r="BL40" s="95">
        <v>3.6610000000000002E-3</v>
      </c>
      <c r="BM40" s="102">
        <v>2.0219999999999999E-3</v>
      </c>
      <c r="BN40" s="95">
        <v>2.3219999999999998E-3</v>
      </c>
      <c r="BO40" s="101">
        <v>1.129E-3</v>
      </c>
      <c r="BP40" s="101">
        <v>1.111E-3</v>
      </c>
      <c r="BQ40" s="101">
        <v>1.0579999999999999E-3</v>
      </c>
      <c r="BR40" s="101">
        <v>3.3799999999999998E-4</v>
      </c>
      <c r="BS40" s="101">
        <v>8.1099999999999998E-4</v>
      </c>
      <c r="BT40" s="95">
        <v>1.2999999999999999E-3</v>
      </c>
      <c r="BU40" s="95">
        <v>1.6999999999999999E-3</v>
      </c>
      <c r="BV40" s="97">
        <v>7.2900000000000006E-2</v>
      </c>
      <c r="BW40" s="97">
        <v>0.11935715907087763</v>
      </c>
      <c r="BX40" s="97">
        <v>0.123</v>
      </c>
      <c r="BY40" s="97">
        <v>8.43E-2</v>
      </c>
      <c r="BZ40" s="96">
        <v>7.1999999999999995E-2</v>
      </c>
      <c r="CA40" s="97">
        <v>0.1</v>
      </c>
      <c r="CB40" s="97">
        <v>7.45E-3</v>
      </c>
      <c r="CC40" s="97">
        <v>2.2571000000000001E-2</v>
      </c>
      <c r="CD40" s="97">
        <v>2.5999999999999999E-2</v>
      </c>
      <c r="CE40" s="97">
        <v>4.0000000000000003E-5</v>
      </c>
      <c r="CF40" s="97">
        <v>9.9600000000000001E-3</v>
      </c>
      <c r="CG40" s="96">
        <v>7.1999999999999995E-2</v>
      </c>
      <c r="CH40" s="96">
        <v>7.1999999999999995E-2</v>
      </c>
      <c r="CI40" s="95">
        <v>5.8900000000000001E-4</v>
      </c>
      <c r="CJ40" s="95">
        <v>5.9999999999999995E-4</v>
      </c>
      <c r="CK40" s="101">
        <v>4.0499999999999998E-3</v>
      </c>
      <c r="CL40" s="96">
        <v>5.8000000000000003E-2</v>
      </c>
      <c r="CM40" s="101">
        <v>1.4400000000000001E-3</v>
      </c>
      <c r="CN40" s="101">
        <v>5.3E-3</v>
      </c>
      <c r="CO40" s="95">
        <v>1.24E-3</v>
      </c>
      <c r="CP40" s="95">
        <v>6.6E-4</v>
      </c>
      <c r="CQ40" s="101">
        <v>1.07E-3</v>
      </c>
      <c r="CR40" s="95"/>
      <c r="CS40" s="95">
        <v>3.8000000000000002E-4</v>
      </c>
      <c r="CT40" s="95">
        <v>1.8E-3</v>
      </c>
      <c r="CU40" s="95">
        <v>1.1999999999999999E-3</v>
      </c>
      <c r="CV40" s="95">
        <v>6.6E-4</v>
      </c>
      <c r="CW40" s="95">
        <v>5.5000000000000003E-4</v>
      </c>
      <c r="CX40" s="95">
        <v>5.4000000000000001E-4</v>
      </c>
      <c r="CY40" s="104">
        <v>5.5090000000000003</v>
      </c>
      <c r="CZ40" s="104">
        <v>5.5510000000000002</v>
      </c>
      <c r="DA40" s="104">
        <v>5</v>
      </c>
      <c r="DB40" s="104">
        <v>5.42</v>
      </c>
      <c r="DC40" s="104">
        <v>5.1100000000000003</v>
      </c>
      <c r="DD40" s="104">
        <v>7.74</v>
      </c>
    </row>
    <row r="41" spans="1:108">
      <c r="A41" s="54">
        <v>29</v>
      </c>
      <c r="B41" s="95">
        <v>1.1800000000000001E-3</v>
      </c>
      <c r="C41" s="95">
        <v>8.3400000000000002E-3</v>
      </c>
      <c r="D41" s="96">
        <v>3.8900000000000002E-4</v>
      </c>
      <c r="E41" s="96">
        <v>6.87E-4</v>
      </c>
      <c r="F41" s="95">
        <v>4.35E-4</v>
      </c>
      <c r="G41" s="95">
        <v>7.7399999999999995E-4</v>
      </c>
      <c r="H41" s="95">
        <v>6.3599999999999996E-4</v>
      </c>
      <c r="I41" s="95">
        <v>9.4700000000000003E-4</v>
      </c>
      <c r="J41" s="95">
        <v>9.4699999999999993E-4</v>
      </c>
      <c r="K41" s="95">
        <v>8.3900000000000001E-4</v>
      </c>
      <c r="L41" s="95">
        <v>7.6000000000000004E-4</v>
      </c>
      <c r="M41" s="95">
        <v>4.73E-4</v>
      </c>
      <c r="N41" s="95">
        <v>4.2299999999999998E-4</v>
      </c>
      <c r="O41" s="95">
        <v>8.1899999999999996E-4</v>
      </c>
      <c r="P41" s="95">
        <v>7.3099999999999999E-4</v>
      </c>
      <c r="Q41" s="97">
        <v>4.0999999999999999E-4</v>
      </c>
      <c r="R41" s="97">
        <v>1.25E-3</v>
      </c>
      <c r="S41" s="97">
        <v>3.3E-4</v>
      </c>
      <c r="T41" s="97">
        <v>9.1E-4</v>
      </c>
      <c r="U41" s="98">
        <v>4.5629999999999998E-4</v>
      </c>
      <c r="V41" s="99">
        <v>1.0371E-3</v>
      </c>
      <c r="W41" s="98">
        <v>3.3359999999999998E-4</v>
      </c>
      <c r="X41" s="99">
        <v>7.1770000000000004E-4</v>
      </c>
      <c r="Y41" s="100">
        <v>4.6957379999999999E-4</v>
      </c>
      <c r="Z41" s="100">
        <v>1.0417836999999999E-3</v>
      </c>
      <c r="AA41" s="100">
        <v>3.468454E-4</v>
      </c>
      <c r="AB41" s="100">
        <v>8.0919539999999999E-4</v>
      </c>
      <c r="AC41" s="95">
        <v>2.3600000000000001E-3</v>
      </c>
      <c r="AD41" s="95">
        <v>3.3999999999999998E-3</v>
      </c>
      <c r="AE41" s="95">
        <v>2.0799999999999998E-3</v>
      </c>
      <c r="AF41" s="95">
        <v>1.9750000000000002E-3</v>
      </c>
      <c r="AG41" s="95">
        <v>1.9599999999999999E-3</v>
      </c>
      <c r="AH41" s="95">
        <v>2.1048999999999998E-3</v>
      </c>
      <c r="AI41" s="95">
        <v>2.0799999999999998E-3</v>
      </c>
      <c r="AJ41" s="95">
        <v>9.5E-4</v>
      </c>
      <c r="AK41" s="95">
        <v>1.0399999999999999E-3</v>
      </c>
      <c r="AL41" s="95">
        <v>1.7099999999999999E-3</v>
      </c>
      <c r="AM41" s="97">
        <v>1.472E-3</v>
      </c>
      <c r="AN41" s="95">
        <v>4.4000000000000002E-4</v>
      </c>
      <c r="AO41" s="95">
        <v>7.6300000000000001E-4</v>
      </c>
      <c r="AP41" s="101">
        <v>3.2000000000000003E-4</v>
      </c>
      <c r="AQ41" s="101">
        <v>3.5599999999999998E-4</v>
      </c>
      <c r="AR41" s="101">
        <v>6.3599999999999996E-4</v>
      </c>
      <c r="AS41" s="101">
        <v>5.7200000000000003E-4</v>
      </c>
      <c r="AT41" s="101">
        <v>3.3100000000000002E-4</v>
      </c>
      <c r="AU41" s="101">
        <v>7.7899999999999996E-4</v>
      </c>
      <c r="AV41" s="95">
        <v>5.7799999999999995E-4</v>
      </c>
      <c r="AW41" s="95">
        <v>1.405E-3</v>
      </c>
      <c r="AX41" s="95">
        <v>1.2497999999999999E-3</v>
      </c>
      <c r="AY41" s="95">
        <v>1.297E-3</v>
      </c>
      <c r="AZ41" s="101">
        <v>1.304E-3</v>
      </c>
      <c r="BA41" s="101" t="s">
        <v>35</v>
      </c>
      <c r="BB41" s="95">
        <v>2.6900000000000001E-3</v>
      </c>
      <c r="BC41" s="95">
        <v>9.7099999999999999E-3</v>
      </c>
      <c r="BD41" s="95">
        <v>2.065413923791423E-3</v>
      </c>
      <c r="BE41" s="95">
        <v>2.0270684386453457E-3</v>
      </c>
      <c r="BF41" s="95">
        <v>1.9532543837374561E-3</v>
      </c>
      <c r="BG41" s="101">
        <v>1.8898914791475065E-3</v>
      </c>
      <c r="BH41" s="95">
        <v>9.2199999999999997E-4</v>
      </c>
      <c r="BI41" s="101">
        <v>6.5399999999999998E-3</v>
      </c>
      <c r="BJ41" s="95">
        <v>2.4800000000000001E-4</v>
      </c>
      <c r="BK41" s="95">
        <v>4.1199999999999999E-4</v>
      </c>
      <c r="BL41" s="95">
        <v>3.8080000000000002E-3</v>
      </c>
      <c r="BM41" s="102">
        <v>2.0409999999999998E-3</v>
      </c>
      <c r="BN41" s="95">
        <v>2.4520000000000002E-3</v>
      </c>
      <c r="BO41" s="101">
        <v>1.1069999999999999E-3</v>
      </c>
      <c r="BP41" s="101">
        <v>1.1410000000000001E-3</v>
      </c>
      <c r="BQ41" s="101">
        <v>1.083E-3</v>
      </c>
      <c r="BR41" s="101">
        <v>3.5599999999999998E-4</v>
      </c>
      <c r="BS41" s="101">
        <v>8.3799999999999999E-4</v>
      </c>
      <c r="BT41" s="95">
        <v>1.3600000000000001E-3</v>
      </c>
      <c r="BU41" s="95">
        <v>1.7600000000000001E-3</v>
      </c>
      <c r="BV41" s="97">
        <v>6.9099999999999995E-2</v>
      </c>
      <c r="BW41" s="97">
        <v>0.11593492273023254</v>
      </c>
      <c r="BX41" s="97">
        <v>0.114</v>
      </c>
      <c r="BY41" s="97">
        <v>8.2699999999999996E-2</v>
      </c>
      <c r="BZ41" s="96">
        <v>6.8500000000000005E-2</v>
      </c>
      <c r="CA41" s="97">
        <v>0.1</v>
      </c>
      <c r="CB41" s="97">
        <v>7.45E-3</v>
      </c>
      <c r="CC41" s="97">
        <v>2.2571000000000001E-2</v>
      </c>
      <c r="CD41" s="97">
        <v>2.5999999999999999E-2</v>
      </c>
      <c r="CE41" s="97">
        <v>4.0000000000000003E-5</v>
      </c>
      <c r="CF41" s="97">
        <v>1.021E-2</v>
      </c>
      <c r="CG41" s="96">
        <v>6.8500000000000005E-2</v>
      </c>
      <c r="CH41" s="96">
        <v>6.8500000000000005E-2</v>
      </c>
      <c r="CI41" s="95">
        <v>5.9599999999999996E-4</v>
      </c>
      <c r="CJ41" s="95">
        <v>6.0999999999999997E-4</v>
      </c>
      <c r="CK41" s="101">
        <v>4.0400000000000002E-3</v>
      </c>
      <c r="CL41" s="96">
        <v>5.7299999999999997E-2</v>
      </c>
      <c r="CM41" s="101">
        <v>1.4499999999999999E-3</v>
      </c>
      <c r="CN41" s="101">
        <v>5.1999999999999998E-3</v>
      </c>
      <c r="CO41" s="95">
        <v>1.42E-3</v>
      </c>
      <c r="CP41" s="95">
        <v>7.6000000000000004E-4</v>
      </c>
      <c r="CQ41" s="101">
        <v>1.1000000000000001E-3</v>
      </c>
      <c r="CR41" s="95"/>
      <c r="CS41" s="95">
        <v>4.4999999999999999E-4</v>
      </c>
      <c r="CT41" s="95">
        <v>1.8E-3</v>
      </c>
      <c r="CU41" s="95">
        <v>1.1999999999999999E-3</v>
      </c>
      <c r="CV41" s="95">
        <v>6.7000000000000002E-4</v>
      </c>
      <c r="CW41" s="95">
        <v>5.9000000000000003E-4</v>
      </c>
      <c r="CX41" s="95">
        <v>6.6E-4</v>
      </c>
      <c r="CY41" s="104">
        <v>5.5789999999999997</v>
      </c>
      <c r="CZ41" s="104">
        <v>5.556</v>
      </c>
      <c r="DA41" s="104">
        <v>5.08</v>
      </c>
      <c r="DB41" s="104">
        <v>5.44</v>
      </c>
      <c r="DC41" s="104">
        <v>5.25</v>
      </c>
      <c r="DD41" s="104">
        <v>7.9</v>
      </c>
    </row>
    <row r="42" spans="1:108">
      <c r="A42" s="54">
        <v>30</v>
      </c>
      <c r="B42" s="95">
        <v>1.23E-3</v>
      </c>
      <c r="C42" s="95">
        <v>8.43E-3</v>
      </c>
      <c r="D42" s="96">
        <v>4.0200000000000001E-4</v>
      </c>
      <c r="E42" s="96">
        <v>6.9399999999999996E-4</v>
      </c>
      <c r="F42" s="95">
        <v>4.4999999999999999E-4</v>
      </c>
      <c r="G42" s="95">
        <v>7.8399999999999997E-4</v>
      </c>
      <c r="H42" s="95">
        <v>6.7699999999999998E-4</v>
      </c>
      <c r="I42" s="95">
        <v>1.0039999999999999E-3</v>
      </c>
      <c r="J42" s="95">
        <v>1.0039999999999999E-3</v>
      </c>
      <c r="K42" s="95">
        <v>8.9300000000000002E-4</v>
      </c>
      <c r="L42" s="95">
        <v>8.1000000000000006E-4</v>
      </c>
      <c r="M42" s="95">
        <v>4.9299999999999995E-4</v>
      </c>
      <c r="N42" s="95">
        <v>4.4099999999999999E-4</v>
      </c>
      <c r="O42" s="95">
        <v>8.4999999999999995E-4</v>
      </c>
      <c r="P42" s="95">
        <v>7.5900000000000002E-4</v>
      </c>
      <c r="Q42" s="97">
        <v>4.4000000000000002E-4</v>
      </c>
      <c r="R42" s="97">
        <v>1.2600000000000001E-3</v>
      </c>
      <c r="S42" s="97">
        <v>3.5E-4</v>
      </c>
      <c r="T42" s="97">
        <v>9.2000000000000003E-4</v>
      </c>
      <c r="U42" s="98">
        <v>4.818E-4</v>
      </c>
      <c r="V42" s="99">
        <v>1.0541000000000001E-3</v>
      </c>
      <c r="W42" s="98">
        <v>3.48E-4</v>
      </c>
      <c r="X42" s="99">
        <v>7.2110000000000002E-4</v>
      </c>
      <c r="Y42" s="100">
        <v>4.8824099999999999E-4</v>
      </c>
      <c r="Z42" s="100">
        <v>1.044681E-3</v>
      </c>
      <c r="AA42" s="100">
        <v>3.5595629999999999E-4</v>
      </c>
      <c r="AB42" s="100">
        <v>7.9429390000000004E-4</v>
      </c>
      <c r="AC42" s="95">
        <v>2.3999999999999998E-3</v>
      </c>
      <c r="AD42" s="95">
        <v>3.5599999999999998E-3</v>
      </c>
      <c r="AE42" s="95">
        <v>2.1299999999999999E-3</v>
      </c>
      <c r="AF42" s="95">
        <v>2.0098999999999998E-3</v>
      </c>
      <c r="AG42" s="95">
        <v>1.99E-3</v>
      </c>
      <c r="AH42" s="95">
        <v>2.16E-3</v>
      </c>
      <c r="AI42" s="95">
        <v>2.1299999999999999E-3</v>
      </c>
      <c r="AJ42" s="95">
        <v>9.7000000000000005E-4</v>
      </c>
      <c r="AK42" s="95">
        <v>1.08E-3</v>
      </c>
      <c r="AL42" s="95">
        <v>1.73E-3</v>
      </c>
      <c r="AM42" s="97">
        <v>1.5200000000000001E-3</v>
      </c>
      <c r="AN42" s="95">
        <v>4.6900000000000002E-4</v>
      </c>
      <c r="AO42" s="95">
        <v>8.0900000000000004E-4</v>
      </c>
      <c r="AP42" s="101">
        <v>3.4200000000000002E-4</v>
      </c>
      <c r="AQ42" s="101">
        <v>3.8000000000000002E-4</v>
      </c>
      <c r="AR42" s="101">
        <v>6.7400000000000001E-4</v>
      </c>
      <c r="AS42" s="101">
        <v>6.0700000000000001E-4</v>
      </c>
      <c r="AT42" s="101">
        <v>3.5100000000000002E-4</v>
      </c>
      <c r="AU42" s="101">
        <v>8.0099999999999995E-4</v>
      </c>
      <c r="AV42" s="95">
        <v>6.1260000000000004E-4</v>
      </c>
      <c r="AW42" s="95">
        <v>1.4239999999999999E-3</v>
      </c>
      <c r="AX42" s="95">
        <v>1.2620000000000001E-3</v>
      </c>
      <c r="AY42" s="95">
        <v>1.2999999999999999E-3</v>
      </c>
      <c r="AZ42" s="101">
        <v>1.3060000000000001E-3</v>
      </c>
      <c r="BA42" s="101" t="s">
        <v>36</v>
      </c>
      <c r="BB42" s="95">
        <v>2.8E-3</v>
      </c>
      <c r="BC42" s="95">
        <v>9.8399999999999998E-3</v>
      </c>
      <c r="BD42" s="95">
        <v>2.1386603124801049E-3</v>
      </c>
      <c r="BE42" s="95">
        <v>2.0853155914664699E-3</v>
      </c>
      <c r="BF42" s="95">
        <v>2.0214036691157769E-3</v>
      </c>
      <c r="BG42" s="101">
        <v>1.9558944446882772E-3</v>
      </c>
      <c r="BH42" s="95">
        <v>9.7599999999999998E-4</v>
      </c>
      <c r="BI42" s="101">
        <v>6.6400000000000001E-3</v>
      </c>
      <c r="BJ42" s="95">
        <v>2.6400000000000002E-4</v>
      </c>
      <c r="BK42" s="95">
        <v>4.44E-4</v>
      </c>
      <c r="BL42" s="95">
        <v>3.9709999999999997E-3</v>
      </c>
      <c r="BM42" s="102">
        <v>2.0990000000000002E-3</v>
      </c>
      <c r="BN42" s="95">
        <v>2.5950000000000001E-3</v>
      </c>
      <c r="BO42" s="101">
        <v>1.083E-3</v>
      </c>
      <c r="BP42" s="101">
        <v>1.173E-3</v>
      </c>
      <c r="BQ42" s="101">
        <v>1.111E-3</v>
      </c>
      <c r="BR42" s="101">
        <v>3.77E-4</v>
      </c>
      <c r="BS42" s="101">
        <v>8.6200000000000003E-4</v>
      </c>
      <c r="BT42" s="95">
        <v>1.4300000000000001E-3</v>
      </c>
      <c r="BU42" s="95">
        <v>1.82E-3</v>
      </c>
      <c r="BV42" s="97">
        <v>6.6699999999999995E-2</v>
      </c>
      <c r="BW42" s="97">
        <v>0.11262473252234562</v>
      </c>
      <c r="BX42" s="97">
        <v>0.106</v>
      </c>
      <c r="BY42" s="97">
        <v>8.1100000000000005E-2</v>
      </c>
      <c r="BZ42" s="96">
        <v>6.5600000000000006E-2</v>
      </c>
      <c r="CA42" s="97">
        <v>0.1</v>
      </c>
      <c r="CB42" s="97">
        <v>7.45E-3</v>
      </c>
      <c r="CC42" s="97">
        <v>2.2571000000000001E-2</v>
      </c>
      <c r="CD42" s="97">
        <v>2.5999999999999999E-2</v>
      </c>
      <c r="CE42" s="97">
        <v>4.0000000000000003E-5</v>
      </c>
      <c r="CF42" s="97">
        <v>1.048E-2</v>
      </c>
      <c r="CG42" s="96">
        <v>6.5600000000000006E-2</v>
      </c>
      <c r="CH42" s="96">
        <v>6.5600000000000006E-2</v>
      </c>
      <c r="CI42" s="95">
        <v>6.0499999999999996E-4</v>
      </c>
      <c r="CJ42" s="95">
        <v>6.0999999999999997E-4</v>
      </c>
      <c r="CK42" s="101">
        <v>4.0499999999999998E-3</v>
      </c>
      <c r="CL42" s="96">
        <v>5.6500000000000002E-2</v>
      </c>
      <c r="CM42" s="101">
        <v>1.48E-3</v>
      </c>
      <c r="CN42" s="101">
        <v>5.1999999999999998E-3</v>
      </c>
      <c r="CO42" s="95">
        <v>1.64E-3</v>
      </c>
      <c r="CP42" s="95">
        <v>8.8000000000000003E-4</v>
      </c>
      <c r="CQ42" s="101">
        <v>1.1199999999999999E-3</v>
      </c>
      <c r="CR42" s="95">
        <v>1E-4</v>
      </c>
      <c r="CS42" s="95">
        <v>5.2999999999999998E-4</v>
      </c>
      <c r="CT42" s="95">
        <v>1.8E-3</v>
      </c>
      <c r="CU42" s="95">
        <v>1.1999999999999999E-3</v>
      </c>
      <c r="CV42" s="95">
        <v>6.8000000000000005E-4</v>
      </c>
      <c r="CW42" s="95">
        <v>6.4000000000000005E-4</v>
      </c>
      <c r="CX42" s="95">
        <v>7.9000000000000001E-4</v>
      </c>
      <c r="CY42" s="104">
        <v>5.6559999999999997</v>
      </c>
      <c r="CZ42" s="104">
        <v>5.5620000000000003</v>
      </c>
      <c r="DA42" s="104">
        <v>5.16</v>
      </c>
      <c r="DB42" s="104">
        <v>5.18</v>
      </c>
      <c r="DC42" s="104">
        <v>5.41</v>
      </c>
      <c r="DD42" s="104">
        <v>8.07</v>
      </c>
    </row>
    <row r="43" spans="1:108">
      <c r="A43" s="54">
        <v>31</v>
      </c>
      <c r="B43" s="95">
        <v>1.2800000000000001E-3</v>
      </c>
      <c r="C43" s="95">
        <v>8.5100000000000002E-3</v>
      </c>
      <c r="D43" s="96">
        <v>4.1399999999999998E-4</v>
      </c>
      <c r="E43" s="96">
        <v>6.9899999999999997E-4</v>
      </c>
      <c r="F43" s="95">
        <v>4.6299999999999998E-4</v>
      </c>
      <c r="G43" s="95">
        <v>7.8899999999999999E-4</v>
      </c>
      <c r="H43" s="95">
        <v>7.2099999999999996E-4</v>
      </c>
      <c r="I43" s="95">
        <v>1.067E-3</v>
      </c>
      <c r="J43" s="95">
        <v>1.067E-3</v>
      </c>
      <c r="K43" s="95">
        <v>9.5299999999999996E-4</v>
      </c>
      <c r="L43" s="95">
        <v>8.5999999999999998E-4</v>
      </c>
      <c r="M43" s="95">
        <v>5.13E-4</v>
      </c>
      <c r="N43" s="95">
        <v>4.6000000000000001E-4</v>
      </c>
      <c r="O43" s="95">
        <v>8.8099999999999995E-4</v>
      </c>
      <c r="P43" s="95">
        <v>7.8600000000000002E-4</v>
      </c>
      <c r="Q43" s="97">
        <v>4.6999999999999999E-4</v>
      </c>
      <c r="R43" s="97">
        <v>1.2700000000000001E-3</v>
      </c>
      <c r="S43" s="97">
        <v>3.6999999999999999E-4</v>
      </c>
      <c r="T43" s="97">
        <v>9.3000000000000005E-4</v>
      </c>
      <c r="U43" s="98">
        <v>5.0779999999999998E-4</v>
      </c>
      <c r="V43" s="99">
        <v>1.0763000000000001E-3</v>
      </c>
      <c r="W43" s="98">
        <v>3.5750000000000002E-4</v>
      </c>
      <c r="X43" s="99">
        <v>7.3419999999999996E-4</v>
      </c>
      <c r="Y43" s="100">
        <v>5.1126440000000002E-4</v>
      </c>
      <c r="Z43" s="100">
        <v>1.0533363999999999E-3</v>
      </c>
      <c r="AA43" s="100">
        <v>3.6765039999999999E-4</v>
      </c>
      <c r="AB43" s="100">
        <v>7.8583240000000001E-4</v>
      </c>
      <c r="AC43" s="95">
        <v>2.4499999999999999E-3</v>
      </c>
      <c r="AD43" s="95">
        <v>3.7299999999999998E-3</v>
      </c>
      <c r="AE43" s="95">
        <v>2.1900000000000001E-3</v>
      </c>
      <c r="AF43" s="95">
        <v>2.0549000000000001E-3</v>
      </c>
      <c r="AG43" s="95">
        <v>2.0300000000000001E-3</v>
      </c>
      <c r="AH43" s="95">
        <v>2.2198999999999999E-3</v>
      </c>
      <c r="AI43" s="95">
        <v>2.1900000000000001E-3</v>
      </c>
      <c r="AJ43" s="95">
        <v>1E-3</v>
      </c>
      <c r="AK43" s="95">
        <v>1.1299999999999999E-3</v>
      </c>
      <c r="AL43" s="95">
        <v>1.7800000000000001E-3</v>
      </c>
      <c r="AM43" s="97">
        <v>1.5679999999999999E-3</v>
      </c>
      <c r="AN43" s="95">
        <v>4.9899999999999999E-4</v>
      </c>
      <c r="AO43" s="95">
        <v>8.5999999999999998E-4</v>
      </c>
      <c r="AP43" s="101">
        <v>3.6400000000000001E-4</v>
      </c>
      <c r="AQ43" s="101">
        <v>4.0400000000000001E-4</v>
      </c>
      <c r="AR43" s="101">
        <v>7.1699999999999997E-4</v>
      </c>
      <c r="AS43" s="101">
        <v>6.4499999999999996E-4</v>
      </c>
      <c r="AT43" s="101">
        <v>3.7300000000000001E-4</v>
      </c>
      <c r="AU43" s="101">
        <v>8.2100000000000001E-4</v>
      </c>
      <c r="AV43" s="95">
        <v>6.4919999999999995E-4</v>
      </c>
      <c r="AW43" s="95">
        <v>1.4729999999999999E-3</v>
      </c>
      <c r="AX43" s="95">
        <v>1.2759E-3</v>
      </c>
      <c r="AY43" s="95">
        <v>1.31E-3</v>
      </c>
      <c r="AZ43" s="101">
        <v>1.315E-3</v>
      </c>
      <c r="BA43" s="101" t="s">
        <v>37</v>
      </c>
      <c r="BB43" s="95">
        <v>2.9299999999999999E-3</v>
      </c>
      <c r="BC43" s="95">
        <v>9.9799999999999993E-3</v>
      </c>
      <c r="BD43" s="95">
        <v>2.2192713403140696E-3</v>
      </c>
      <c r="BE43" s="95">
        <v>2.1732458994302775E-3</v>
      </c>
      <c r="BF43" s="95">
        <v>2.0929401697068299E-3</v>
      </c>
      <c r="BG43" s="101">
        <v>2.0253794558508938E-3</v>
      </c>
      <c r="BH43" s="95">
        <v>1.036E-3</v>
      </c>
      <c r="BI43" s="101">
        <v>6.7499999999999999E-3</v>
      </c>
      <c r="BJ43" s="95">
        <v>3.0699999999999998E-4</v>
      </c>
      <c r="BK43" s="95">
        <v>4.9899999999999999E-4</v>
      </c>
      <c r="BL43" s="95">
        <v>4.1510000000000002E-3</v>
      </c>
      <c r="BM43" s="102">
        <v>2.1570000000000001E-3</v>
      </c>
      <c r="BN43" s="95">
        <v>2.7529999999999998E-3</v>
      </c>
      <c r="BO43" s="101">
        <v>1.0579999999999999E-3</v>
      </c>
      <c r="BP43" s="101">
        <v>1.2080000000000001E-3</v>
      </c>
      <c r="BQ43" s="101">
        <v>1.1410000000000001E-3</v>
      </c>
      <c r="BR43" s="101">
        <v>4.0099999999999999E-4</v>
      </c>
      <c r="BS43" s="101">
        <v>8.83E-4</v>
      </c>
      <c r="BT43" s="95">
        <v>1.5100000000000001E-3</v>
      </c>
      <c r="BU43" s="95">
        <v>1.89E-3</v>
      </c>
      <c r="BV43" s="97">
        <v>6.5199999999999994E-2</v>
      </c>
      <c r="BW43" s="97">
        <v>0.10942573863383698</v>
      </c>
      <c r="BX43" s="97">
        <v>0.1</v>
      </c>
      <c r="BY43" s="97">
        <v>7.9600000000000004E-2</v>
      </c>
      <c r="BZ43" s="96">
        <v>6.4000000000000001E-2</v>
      </c>
      <c r="CA43" s="97">
        <v>9.5000000000000001E-2</v>
      </c>
      <c r="CB43" s="97">
        <v>7.45E-3</v>
      </c>
      <c r="CC43" s="97">
        <v>2.2571000000000001E-2</v>
      </c>
      <c r="CD43" s="97">
        <v>2.5999999999999999E-2</v>
      </c>
      <c r="CE43" s="97">
        <v>4.0000000000000003E-5</v>
      </c>
      <c r="CF43" s="97">
        <v>1.077E-2</v>
      </c>
      <c r="CG43" s="96">
        <v>6.4000000000000001E-2</v>
      </c>
      <c r="CH43" s="96">
        <v>6.4000000000000001E-2</v>
      </c>
      <c r="CI43" s="95">
        <v>6.1499999999999999E-4</v>
      </c>
      <c r="CJ43" s="95">
        <v>6.2E-4</v>
      </c>
      <c r="CK43" s="101">
        <v>4.0600000000000002E-3</v>
      </c>
      <c r="CL43" s="96">
        <v>5.5800000000000002E-2</v>
      </c>
      <c r="CM43" s="101">
        <v>1.5E-3</v>
      </c>
      <c r="CN43" s="101">
        <v>5.1999999999999998E-3</v>
      </c>
      <c r="CO43" s="95">
        <v>1.81E-3</v>
      </c>
      <c r="CP43" s="95">
        <v>9.7999999999999997E-4</v>
      </c>
      <c r="CQ43" s="101">
        <v>1.15E-3</v>
      </c>
      <c r="CR43" s="95">
        <v>2.9999999999999997E-4</v>
      </c>
      <c r="CS43" s="95">
        <v>6.2E-4</v>
      </c>
      <c r="CT43" s="95">
        <v>1.82E-3</v>
      </c>
      <c r="CU43" s="95">
        <v>1.2099999999999999E-3</v>
      </c>
      <c r="CV43" s="95">
        <v>6.8999999999999997E-4</v>
      </c>
      <c r="CW43" s="95">
        <v>6.8000000000000005E-4</v>
      </c>
      <c r="CX43" s="95">
        <v>8.4999999999999995E-4</v>
      </c>
      <c r="CY43" s="104">
        <v>5.7510000000000003</v>
      </c>
      <c r="CZ43" s="104">
        <v>5.569</v>
      </c>
      <c r="DA43" s="104">
        <v>5.26</v>
      </c>
      <c r="DB43" s="104">
        <v>5.53</v>
      </c>
      <c r="DC43" s="104">
        <v>5.61</v>
      </c>
      <c r="DD43" s="104">
        <v>8.2100000000000009</v>
      </c>
    </row>
    <row r="44" spans="1:108">
      <c r="A44" s="54">
        <v>32</v>
      </c>
      <c r="B44" s="95">
        <v>1.34E-3</v>
      </c>
      <c r="C44" s="95">
        <v>8.6099999999999996E-3</v>
      </c>
      <c r="D44" s="96">
        <v>4.2499999999999998E-4</v>
      </c>
      <c r="E44" s="96">
        <v>6.9999999999999999E-4</v>
      </c>
      <c r="F44" s="95">
        <v>4.7600000000000002E-4</v>
      </c>
      <c r="G44" s="95">
        <v>7.8899999999999999E-4</v>
      </c>
      <c r="H44" s="95">
        <v>7.6999999999999996E-4</v>
      </c>
      <c r="I44" s="95">
        <v>1.1360000000000001E-3</v>
      </c>
      <c r="J44" s="95">
        <v>1.1359999999999999E-3</v>
      </c>
      <c r="K44" s="95">
        <v>1.0200000000000001E-3</v>
      </c>
      <c r="L44" s="95">
        <v>9.2000000000000003E-4</v>
      </c>
      <c r="M44" s="95">
        <v>5.3399999999999997E-4</v>
      </c>
      <c r="N44" s="95">
        <v>4.7899999999999999E-4</v>
      </c>
      <c r="O44" s="95">
        <v>9.1299999999999997E-4</v>
      </c>
      <c r="P44" s="95">
        <v>8.1400000000000005E-4</v>
      </c>
      <c r="Q44" s="97">
        <v>5.0000000000000001E-4</v>
      </c>
      <c r="R44" s="97">
        <v>1.2899999999999999E-3</v>
      </c>
      <c r="S44" s="97">
        <v>4.0000000000000002E-4</v>
      </c>
      <c r="T44" s="97">
        <v>9.3999999999999997E-4</v>
      </c>
      <c r="U44" s="98">
        <v>5.3759999999999995E-4</v>
      </c>
      <c r="V44" s="99">
        <v>1.1029E-3</v>
      </c>
      <c r="W44" s="98">
        <v>3.6850000000000001E-4</v>
      </c>
      <c r="X44" s="99">
        <v>7.5790000000000005E-4</v>
      </c>
      <c r="Y44" s="100">
        <v>5.3902799999999999E-4</v>
      </c>
      <c r="Z44" s="100">
        <v>1.0691129E-3</v>
      </c>
      <c r="AA44" s="100">
        <v>3.8234059999999999E-4</v>
      </c>
      <c r="AB44" s="100">
        <v>7.8445019999999997E-4</v>
      </c>
      <c r="AC44" s="95">
        <v>2.5100000000000001E-3</v>
      </c>
      <c r="AD44" s="95">
        <v>3.9199999999999999E-3</v>
      </c>
      <c r="AE44" s="95">
        <v>2.2499999999999998E-3</v>
      </c>
      <c r="AF44" s="95">
        <v>2.1048999999999998E-3</v>
      </c>
      <c r="AG44" s="95">
        <v>2.0799999999999998E-3</v>
      </c>
      <c r="AH44" s="95">
        <v>2.2850000000000001E-3</v>
      </c>
      <c r="AI44" s="95">
        <v>2.2499999999999998E-3</v>
      </c>
      <c r="AJ44" s="95">
        <v>1.0399999999999999E-3</v>
      </c>
      <c r="AK44" s="95">
        <v>1.1800000000000001E-3</v>
      </c>
      <c r="AL44" s="95">
        <v>1.83E-3</v>
      </c>
      <c r="AM44" s="97">
        <v>1.6249999999999999E-3</v>
      </c>
      <c r="AN44" s="95">
        <v>5.3300000000000005E-4</v>
      </c>
      <c r="AO44" s="95">
        <v>9.1600000000000004E-4</v>
      </c>
      <c r="AP44" s="101">
        <v>3.88E-4</v>
      </c>
      <c r="AQ44" s="101">
        <v>4.3100000000000001E-4</v>
      </c>
      <c r="AR44" s="101">
        <v>7.6300000000000001E-4</v>
      </c>
      <c r="AS44" s="101">
        <v>6.87E-4</v>
      </c>
      <c r="AT44" s="101">
        <v>3.97E-4</v>
      </c>
      <c r="AU44" s="101">
        <v>8.3900000000000001E-4</v>
      </c>
      <c r="AV44" s="95">
        <v>6.8769999999999996E-4</v>
      </c>
      <c r="AW44" s="95">
        <v>1.5319999999999999E-3</v>
      </c>
      <c r="AX44" s="95">
        <v>1.2993E-3</v>
      </c>
      <c r="AY44" s="95">
        <v>1.33E-3</v>
      </c>
      <c r="AZ44" s="101">
        <v>1.3320000000000001E-3</v>
      </c>
      <c r="BA44" s="101" t="s">
        <v>38</v>
      </c>
      <c r="BB44" s="95">
        <v>3.0699999999999998E-3</v>
      </c>
      <c r="BC44" s="95">
        <v>1.014E-2</v>
      </c>
      <c r="BD44" s="95">
        <v>2.304626853991239E-3</v>
      </c>
      <c r="BE44" s="95">
        <v>2.239922139829615E-3</v>
      </c>
      <c r="BF44" s="95">
        <v>2.1744834991420598E-3</v>
      </c>
      <c r="BG44" s="101">
        <v>2.1046756103117125E-3</v>
      </c>
      <c r="BH44" s="95">
        <v>1.1019999999999999E-3</v>
      </c>
      <c r="BI44" s="101">
        <v>6.8700000000000002E-3</v>
      </c>
      <c r="BJ44" s="95">
        <v>3.5E-4</v>
      </c>
      <c r="BK44" s="95">
        <v>5.62E-4</v>
      </c>
      <c r="BL44" s="95">
        <v>4.3489999999999996E-3</v>
      </c>
      <c r="BM44" s="102">
        <v>2.2260000000000001E-3</v>
      </c>
      <c r="BN44" s="95">
        <v>2.9269999999999999E-3</v>
      </c>
      <c r="BO44" s="101">
        <v>1.083E-3</v>
      </c>
      <c r="BP44" s="101">
        <v>1.297E-3</v>
      </c>
      <c r="BQ44" s="101">
        <v>1.173E-3</v>
      </c>
      <c r="BR44" s="101">
        <v>4.2700000000000002E-4</v>
      </c>
      <c r="BS44" s="101">
        <v>9.0200000000000002E-4</v>
      </c>
      <c r="BT44" s="95">
        <v>1.6000000000000001E-3</v>
      </c>
      <c r="BU44" s="95">
        <v>1.9599999999999999E-3</v>
      </c>
      <c r="BV44" s="97">
        <v>6.4199999999999993E-2</v>
      </c>
      <c r="BW44" s="97">
        <v>0.10633718837674888</v>
      </c>
      <c r="BX44" s="97">
        <v>9.5000000000000001E-2</v>
      </c>
      <c r="BY44" s="97">
        <v>7.8100000000000003E-2</v>
      </c>
      <c r="BZ44" s="96">
        <v>6.4000000000000001E-2</v>
      </c>
      <c r="CA44" s="97">
        <v>0.09</v>
      </c>
      <c r="CB44" s="97">
        <v>7.45E-3</v>
      </c>
      <c r="CC44" s="97">
        <v>2.2571000000000001E-2</v>
      </c>
      <c r="CD44" s="97">
        <v>2.5999999999999999E-2</v>
      </c>
      <c r="CE44" s="97">
        <v>4.0000000000000003E-5</v>
      </c>
      <c r="CF44" s="97">
        <v>1.108E-2</v>
      </c>
      <c r="CG44" s="96">
        <v>6.4000000000000001E-2</v>
      </c>
      <c r="CH44" s="96">
        <v>6.4000000000000001E-2</v>
      </c>
      <c r="CI44" s="95">
        <v>6.2799999999999998E-4</v>
      </c>
      <c r="CJ44" s="95">
        <v>6.3000000000000003E-4</v>
      </c>
      <c r="CK44" s="101">
        <v>4.0800000000000003E-3</v>
      </c>
      <c r="CL44" s="96">
        <v>5.5E-2</v>
      </c>
      <c r="CM44" s="101">
        <v>1.5399999999999999E-3</v>
      </c>
      <c r="CN44" s="101">
        <v>5.3E-3</v>
      </c>
      <c r="CO44" s="95">
        <v>2.0400000000000001E-3</v>
      </c>
      <c r="CP44" s="95">
        <v>1.1000000000000001E-3</v>
      </c>
      <c r="CQ44" s="101">
        <v>1.1800000000000001E-3</v>
      </c>
      <c r="CR44" s="95">
        <v>4.0000000000000002E-4</v>
      </c>
      <c r="CS44" s="95">
        <v>7.2000000000000005E-4</v>
      </c>
      <c r="CT44" s="95">
        <v>1.83E-3</v>
      </c>
      <c r="CU44" s="95">
        <v>1.2199999999999999E-3</v>
      </c>
      <c r="CV44" s="95">
        <v>6.9999999999999999E-4</v>
      </c>
      <c r="CW44" s="95">
        <v>7.5000000000000002E-4</v>
      </c>
      <c r="CX44" s="95">
        <v>1.07E-3</v>
      </c>
      <c r="CY44" s="104">
        <v>5.859</v>
      </c>
      <c r="CZ44" s="104">
        <v>5.5759999999999996</v>
      </c>
      <c r="DA44" s="104">
        <v>5.3</v>
      </c>
      <c r="DB44" s="104">
        <v>5.6</v>
      </c>
      <c r="DC44" s="104">
        <v>5.83</v>
      </c>
      <c r="DD44" s="104">
        <v>8.43</v>
      </c>
    </row>
    <row r="45" spans="1:108">
      <c r="A45" s="54">
        <v>33</v>
      </c>
      <c r="B45" s="95">
        <v>1.41E-3</v>
      </c>
      <c r="C45" s="95">
        <v>8.7200000000000003E-3</v>
      </c>
      <c r="D45" s="96">
        <v>4.3600000000000003E-4</v>
      </c>
      <c r="E45" s="96">
        <v>7.0100000000000002E-4</v>
      </c>
      <c r="F45" s="95">
        <v>4.8799999999999999E-4</v>
      </c>
      <c r="G45" s="95">
        <v>7.9000000000000001E-4</v>
      </c>
      <c r="H45" s="95">
        <v>8.2200000000000003E-4</v>
      </c>
      <c r="I45" s="95">
        <v>1.2130000000000001E-3</v>
      </c>
      <c r="J45" s="95">
        <v>1.2130000000000001E-3</v>
      </c>
      <c r="K45" s="95">
        <v>1.0950000000000001E-3</v>
      </c>
      <c r="L45" s="95">
        <v>9.7999999999999997E-4</v>
      </c>
      <c r="M45" s="95">
        <v>5.5500000000000005E-4</v>
      </c>
      <c r="N45" s="95">
        <v>4.9899999999999999E-4</v>
      </c>
      <c r="O45" s="95">
        <v>9.4499999999999998E-4</v>
      </c>
      <c r="P45" s="95">
        <v>8.43E-4</v>
      </c>
      <c r="Q45" s="97">
        <v>5.4000000000000001E-4</v>
      </c>
      <c r="R45" s="97">
        <v>1.3500000000000001E-3</v>
      </c>
      <c r="S45" s="97">
        <v>4.2000000000000002E-4</v>
      </c>
      <c r="T45" s="97">
        <v>9.8999999999999999E-4</v>
      </c>
      <c r="U45" s="98">
        <v>5.7549999999999995E-4</v>
      </c>
      <c r="V45" s="99">
        <v>1.1428E-3</v>
      </c>
      <c r="W45" s="98">
        <v>3.8309999999999999E-4</v>
      </c>
      <c r="X45" s="99">
        <v>7.9409999999999995E-4</v>
      </c>
      <c r="Y45" s="100">
        <v>5.7165130000000005E-4</v>
      </c>
      <c r="Z45" s="100">
        <v>1.0931419E-3</v>
      </c>
      <c r="AA45" s="100">
        <v>4.003492E-4</v>
      </c>
      <c r="AB45" s="100">
        <v>7.9107419999999997E-4</v>
      </c>
      <c r="AC45" s="95">
        <v>2.5999999999999999E-3</v>
      </c>
      <c r="AD45" s="95">
        <v>4.1200000000000004E-3</v>
      </c>
      <c r="AE45" s="95">
        <v>2.32E-3</v>
      </c>
      <c r="AF45" s="95">
        <v>2.16E-3</v>
      </c>
      <c r="AG45" s="95">
        <v>2.1299999999999999E-3</v>
      </c>
      <c r="AH45" s="95">
        <v>2.3600000000000001E-3</v>
      </c>
      <c r="AI45" s="95">
        <v>2.32E-3</v>
      </c>
      <c r="AJ45" s="95">
        <v>1.08E-3</v>
      </c>
      <c r="AK45" s="95">
        <v>1.24E-3</v>
      </c>
      <c r="AL45" s="95">
        <v>1.91E-3</v>
      </c>
      <c r="AM45" s="97">
        <v>1.7099999999999999E-3</v>
      </c>
      <c r="AN45" s="95">
        <v>5.6899999999999995E-4</v>
      </c>
      <c r="AO45" s="95">
        <v>9.7799999999999992E-4</v>
      </c>
      <c r="AP45" s="101">
        <v>4.1399999999999998E-4</v>
      </c>
      <c r="AQ45" s="101">
        <v>4.6000000000000001E-4</v>
      </c>
      <c r="AR45" s="101">
        <v>8.1499999999999997E-4</v>
      </c>
      <c r="AS45" s="101">
        <v>7.3399999999999995E-4</v>
      </c>
      <c r="AT45" s="101">
        <v>4.2200000000000001E-4</v>
      </c>
      <c r="AU45" s="101">
        <v>8.4800000000000001E-4</v>
      </c>
      <c r="AV45" s="95">
        <v>7.2869999999999999E-4</v>
      </c>
      <c r="AW45" s="95">
        <v>1.603E-3</v>
      </c>
      <c r="AX45" s="95">
        <v>1.3396E-3</v>
      </c>
      <c r="AY45" s="95">
        <v>1.359E-3</v>
      </c>
      <c r="AZ45" s="101">
        <v>1.3600000000000001E-3</v>
      </c>
      <c r="BA45" s="101" t="s">
        <v>39</v>
      </c>
      <c r="BB45" s="95">
        <v>3.2399999999999998E-3</v>
      </c>
      <c r="BC45" s="95">
        <v>1.0319999999999999E-2</v>
      </c>
      <c r="BD45" s="95">
        <v>2.4003918588144848E-3</v>
      </c>
      <c r="BE45" s="95">
        <v>2.3425907351316668E-3</v>
      </c>
      <c r="BF45" s="95">
        <v>2.2674380432421409E-3</v>
      </c>
      <c r="BG45" s="101">
        <v>2.1951253839959878E-3</v>
      </c>
      <c r="BH45" s="95">
        <v>1.175E-3</v>
      </c>
      <c r="BI45" s="101">
        <v>6.9899999999999997E-3</v>
      </c>
      <c r="BJ45" s="95">
        <v>3.9399999999999998E-4</v>
      </c>
      <c r="BK45" s="95">
        <v>6.3100000000000005E-4</v>
      </c>
      <c r="BL45" s="95">
        <v>4.568E-3</v>
      </c>
      <c r="BM45" s="102">
        <v>2.333E-3</v>
      </c>
      <c r="BN45" s="95">
        <v>3.1180000000000001E-3</v>
      </c>
      <c r="BO45" s="101">
        <v>1.111E-3</v>
      </c>
      <c r="BP45" s="101">
        <v>1.3979999999999999E-3</v>
      </c>
      <c r="BQ45" s="101">
        <v>1.2080000000000001E-3</v>
      </c>
      <c r="BR45" s="101">
        <v>4.5399999999999998E-4</v>
      </c>
      <c r="BS45" s="101">
        <v>9.1200000000000005E-4</v>
      </c>
      <c r="BT45" s="95">
        <v>1.6999999999999999E-3</v>
      </c>
      <c r="BU45" s="95">
        <v>2.0400000000000001E-3</v>
      </c>
      <c r="BV45" s="97">
        <v>6.3299999999999995E-2</v>
      </c>
      <c r="BW45" s="97">
        <v>0.10335843293944258</v>
      </c>
      <c r="BX45" s="97">
        <v>9.1999999999999998E-2</v>
      </c>
      <c r="BY45" s="97">
        <v>7.6799999999999993E-2</v>
      </c>
      <c r="BZ45" s="96">
        <v>6.4000000000000001E-2</v>
      </c>
      <c r="CA45" s="97">
        <v>8.5000000000000006E-2</v>
      </c>
      <c r="CB45" s="97">
        <v>7.45E-3</v>
      </c>
      <c r="CC45" s="97">
        <v>2.2571000000000001E-2</v>
      </c>
      <c r="CD45" s="97">
        <v>2.5999999999999999E-2</v>
      </c>
      <c r="CE45" s="97">
        <v>4.0000000000000003E-5</v>
      </c>
      <c r="CF45" s="97">
        <v>1.141E-2</v>
      </c>
      <c r="CG45" s="96">
        <v>6.4000000000000001E-2</v>
      </c>
      <c r="CH45" s="96">
        <v>6.4000000000000001E-2</v>
      </c>
      <c r="CI45" s="95">
        <v>6.4300000000000002E-4</v>
      </c>
      <c r="CJ45" s="95">
        <v>6.3000000000000003E-4</v>
      </c>
      <c r="CK45" s="101">
        <v>4.1099999999999999E-3</v>
      </c>
      <c r="CL45" s="96">
        <v>5.4300000000000001E-2</v>
      </c>
      <c r="CM45" s="101">
        <v>1.58E-3</v>
      </c>
      <c r="CN45" s="101">
        <v>5.4000000000000003E-3</v>
      </c>
      <c r="CO45" s="95">
        <v>2.2799999999999999E-3</v>
      </c>
      <c r="CP45" s="95">
        <v>1.24E-3</v>
      </c>
      <c r="CQ45" s="101">
        <v>1.2099999999999999E-3</v>
      </c>
      <c r="CR45" s="95">
        <v>5.0000000000000001E-4</v>
      </c>
      <c r="CS45" s="95">
        <v>8.3000000000000001E-4</v>
      </c>
      <c r="CT45" s="95">
        <v>1.8600000000000001E-3</v>
      </c>
      <c r="CU45" s="95">
        <v>1.24E-3</v>
      </c>
      <c r="CV45" s="95">
        <v>6.9999999999999999E-4</v>
      </c>
      <c r="CW45" s="95">
        <v>8.0999999999999996E-4</v>
      </c>
      <c r="CX45" s="95">
        <v>1.31E-3</v>
      </c>
      <c r="CY45" s="104">
        <v>5.9569999999999999</v>
      </c>
      <c r="CZ45" s="104">
        <v>5.5839999999999996</v>
      </c>
      <c r="DA45" s="104">
        <v>5.5</v>
      </c>
      <c r="DB45" s="104">
        <v>5.68</v>
      </c>
      <c r="DC45" s="104">
        <v>6.05</v>
      </c>
      <c r="DD45" s="104">
        <v>8.6199999999999992</v>
      </c>
    </row>
    <row r="46" spans="1:108">
      <c r="A46" s="54">
        <v>34</v>
      </c>
      <c r="B46" s="95">
        <v>1.5E-3</v>
      </c>
      <c r="C46" s="95">
        <v>8.8299999999999993E-3</v>
      </c>
      <c r="D46" s="96">
        <v>4.4900000000000002E-4</v>
      </c>
      <c r="E46" s="96">
        <v>7.0200000000000004E-4</v>
      </c>
      <c r="F46" s="95">
        <v>5.0000000000000001E-4</v>
      </c>
      <c r="G46" s="95">
        <v>7.9100000000000004E-4</v>
      </c>
      <c r="H46" s="95">
        <v>8.7900000000000001E-4</v>
      </c>
      <c r="I46" s="95">
        <v>1.297E-3</v>
      </c>
      <c r="J46" s="95">
        <v>1.297E-3</v>
      </c>
      <c r="K46" s="95">
        <v>1.1790000000000001E-3</v>
      </c>
      <c r="L46" s="95">
        <v>1.0499999999999999E-3</v>
      </c>
      <c r="M46" s="95">
        <v>5.7799999999999995E-4</v>
      </c>
      <c r="N46" s="95">
        <v>5.2099999999999998E-4</v>
      </c>
      <c r="O46" s="95">
        <v>9.7999999999999997E-4</v>
      </c>
      <c r="P46" s="95">
        <v>8.7600000000000004E-4</v>
      </c>
      <c r="Q46" s="97">
        <v>5.6999999999999998E-4</v>
      </c>
      <c r="R46" s="97">
        <v>1.42E-3</v>
      </c>
      <c r="S46" s="97">
        <v>4.4999999999999999E-4</v>
      </c>
      <c r="T46" s="97">
        <v>1.0300000000000001E-3</v>
      </c>
      <c r="U46" s="98">
        <v>6.1760000000000005E-4</v>
      </c>
      <c r="V46" s="99">
        <v>1.1747999999999999E-3</v>
      </c>
      <c r="W46" s="98">
        <v>4.103E-4</v>
      </c>
      <c r="X46" s="99">
        <v>8.3949999999999997E-4</v>
      </c>
      <c r="Y46" s="100">
        <v>6.0936059999999997E-4</v>
      </c>
      <c r="Z46" s="100">
        <v>1.1263791000000001E-3</v>
      </c>
      <c r="AA46" s="100">
        <v>4.2179700000000001E-4</v>
      </c>
      <c r="AB46" s="100">
        <v>8.0677899999999998E-4</v>
      </c>
      <c r="AC46" s="95">
        <v>2.7100000000000002E-3</v>
      </c>
      <c r="AD46" s="95">
        <v>4.3499999999999997E-3</v>
      </c>
      <c r="AE46" s="95">
        <v>2.3999999999999998E-3</v>
      </c>
      <c r="AF46" s="95">
        <v>2.2198999999999999E-3</v>
      </c>
      <c r="AG46" s="95">
        <v>2.1900000000000001E-3</v>
      </c>
      <c r="AH46" s="95">
        <v>2.4548999999999999E-3</v>
      </c>
      <c r="AI46" s="95">
        <v>2.3999999999999998E-3</v>
      </c>
      <c r="AJ46" s="95">
        <v>1.1299999999999999E-3</v>
      </c>
      <c r="AK46" s="95">
        <v>1.31E-3</v>
      </c>
      <c r="AL46" s="95">
        <v>2E-3</v>
      </c>
      <c r="AM46" s="97">
        <v>1.8309999999999999E-3</v>
      </c>
      <c r="AN46" s="95">
        <v>6.0800000000000003E-4</v>
      </c>
      <c r="AO46" s="95">
        <v>1.0460000000000001E-3</v>
      </c>
      <c r="AP46" s="101">
        <v>4.4299999999999998E-4</v>
      </c>
      <c r="AQ46" s="101">
        <v>4.9200000000000003E-4</v>
      </c>
      <c r="AR46" s="101">
        <v>8.7200000000000005E-4</v>
      </c>
      <c r="AS46" s="101">
        <v>7.85E-4</v>
      </c>
      <c r="AT46" s="101">
        <v>4.4900000000000002E-4</v>
      </c>
      <c r="AU46" s="101">
        <v>8.4900000000000004E-4</v>
      </c>
      <c r="AV46" s="95">
        <v>7.7260000000000002E-4</v>
      </c>
      <c r="AW46" s="95">
        <v>1.689E-3</v>
      </c>
      <c r="AX46" s="95">
        <v>1.3983000000000001E-3</v>
      </c>
      <c r="AY46" s="95">
        <v>1.397E-3</v>
      </c>
      <c r="AZ46" s="101">
        <v>1.3960000000000001E-3</v>
      </c>
      <c r="BA46" s="101" t="s">
        <v>40</v>
      </c>
      <c r="BB46" s="95">
        <v>3.4199999999999999E-3</v>
      </c>
      <c r="BC46" s="95">
        <v>1.052E-2</v>
      </c>
      <c r="BD46" s="95">
        <v>2.4917202298598657E-3</v>
      </c>
      <c r="BE46" s="95">
        <v>2.4374739231630997E-3</v>
      </c>
      <c r="BF46" s="95">
        <v>2.3727604785666809E-3</v>
      </c>
      <c r="BG46" s="101">
        <v>2.2977637090793959E-3</v>
      </c>
      <c r="BH46" s="95">
        <v>1.255E-3</v>
      </c>
      <c r="BI46" s="101">
        <v>7.1399999999999996E-3</v>
      </c>
      <c r="BJ46" s="95">
        <v>4.35E-4</v>
      </c>
      <c r="BK46" s="95">
        <v>7.0200000000000004E-4</v>
      </c>
      <c r="BL46" s="95">
        <v>4.81E-3</v>
      </c>
      <c r="BM46" s="102">
        <v>2.4889999999999999E-3</v>
      </c>
      <c r="BN46" s="95">
        <v>3.3300000000000001E-3</v>
      </c>
      <c r="BO46" s="101">
        <v>1.1410000000000001E-3</v>
      </c>
      <c r="BP46" s="101">
        <v>1.513E-3</v>
      </c>
      <c r="BQ46" s="101">
        <v>1.297E-3</v>
      </c>
      <c r="BR46" s="101">
        <v>4.8200000000000001E-4</v>
      </c>
      <c r="BS46" s="101">
        <v>9.1299999999999997E-4</v>
      </c>
      <c r="BT46" s="95">
        <v>1.81E-3</v>
      </c>
      <c r="BU46" s="95">
        <v>2.14E-3</v>
      </c>
      <c r="BV46" s="97">
        <v>6.2399999999999997E-2</v>
      </c>
      <c r="BW46" s="97">
        <v>0.10048893431668593</v>
      </c>
      <c r="BX46" s="97">
        <v>0.09</v>
      </c>
      <c r="BY46" s="97">
        <v>7.5399999999999995E-2</v>
      </c>
      <c r="BZ46" s="96">
        <v>6.3899999999999998E-2</v>
      </c>
      <c r="CA46" s="97">
        <v>0.08</v>
      </c>
      <c r="CB46" s="97">
        <v>7.45E-3</v>
      </c>
      <c r="CC46" s="97">
        <v>2.2571000000000001E-2</v>
      </c>
      <c r="CD46" s="97">
        <v>2.5999999999999999E-2</v>
      </c>
      <c r="CE46" s="97">
        <v>4.0000000000000003E-5</v>
      </c>
      <c r="CF46" s="97">
        <v>1.1769999999999999E-2</v>
      </c>
      <c r="CG46" s="96">
        <v>6.3899999999999998E-2</v>
      </c>
      <c r="CH46" s="96">
        <v>6.3899999999999998E-2</v>
      </c>
      <c r="CI46" s="95">
        <v>6.6E-4</v>
      </c>
      <c r="CJ46" s="95">
        <v>6.3000000000000003E-4</v>
      </c>
      <c r="CK46" s="101">
        <v>4.1599999999999996E-3</v>
      </c>
      <c r="CL46" s="96">
        <v>5.3600000000000002E-2</v>
      </c>
      <c r="CM46" s="101">
        <v>1.6199999999999999E-3</v>
      </c>
      <c r="CN46" s="101">
        <v>5.4999999999999997E-3</v>
      </c>
      <c r="CO46" s="95">
        <v>2.5500000000000002E-3</v>
      </c>
      <c r="CP46" s="95">
        <v>1.39E-3</v>
      </c>
      <c r="CQ46" s="101">
        <v>1.24E-3</v>
      </c>
      <c r="CR46" s="95">
        <v>5.9999999999999995E-4</v>
      </c>
      <c r="CS46" s="95">
        <v>9.5E-4</v>
      </c>
      <c r="CT46" s="95">
        <v>1.89E-3</v>
      </c>
      <c r="CU46" s="95">
        <v>1.2600000000000001E-3</v>
      </c>
      <c r="CV46" s="95">
        <v>7.1000000000000002E-4</v>
      </c>
      <c r="CW46" s="95">
        <v>8.9999999999999998E-4</v>
      </c>
      <c r="CX46" s="95">
        <v>1.5E-3</v>
      </c>
      <c r="CY46" s="104">
        <v>6.069</v>
      </c>
      <c r="CZ46" s="104">
        <v>5.593</v>
      </c>
      <c r="DA46" s="104">
        <v>5.7</v>
      </c>
      <c r="DB46" s="104">
        <v>5.78</v>
      </c>
      <c r="DC46" s="104">
        <v>6.27</v>
      </c>
      <c r="DD46" s="104">
        <v>8.83</v>
      </c>
    </row>
    <row r="47" spans="1:108">
      <c r="A47" s="54">
        <v>35</v>
      </c>
      <c r="B47" s="95">
        <v>1.6199999999999999E-3</v>
      </c>
      <c r="C47" s="95">
        <v>8.9499999999999996E-3</v>
      </c>
      <c r="D47" s="96">
        <v>4.6299999999999998E-4</v>
      </c>
      <c r="E47" s="96">
        <v>7.0399999999999998E-4</v>
      </c>
      <c r="F47" s="95">
        <v>5.1500000000000005E-4</v>
      </c>
      <c r="G47" s="95">
        <v>7.9199999999999995E-4</v>
      </c>
      <c r="H47" s="95">
        <v>9.4200000000000002E-4</v>
      </c>
      <c r="I47" s="95">
        <v>1.3910000000000001E-3</v>
      </c>
      <c r="J47" s="95">
        <v>1.3910000000000001E-3</v>
      </c>
      <c r="K47" s="95">
        <v>1.2729999999999998E-3</v>
      </c>
      <c r="L47" s="95">
        <v>1.1199999999999999E-3</v>
      </c>
      <c r="M47" s="95">
        <v>6.0499999999999996E-4</v>
      </c>
      <c r="N47" s="95">
        <v>5.4500000000000002E-4</v>
      </c>
      <c r="O47" s="95">
        <v>1.023E-3</v>
      </c>
      <c r="P47" s="95">
        <v>9.1699999999999995E-4</v>
      </c>
      <c r="Q47" s="97">
        <v>6.2E-4</v>
      </c>
      <c r="R47" s="97">
        <v>1.49E-3</v>
      </c>
      <c r="S47" s="97">
        <v>4.6999999999999999E-4</v>
      </c>
      <c r="T47" s="97">
        <v>1.09E-3</v>
      </c>
      <c r="U47" s="98">
        <v>6.6370000000000003E-4</v>
      </c>
      <c r="V47" s="99">
        <v>1.2103000000000001E-3</v>
      </c>
      <c r="W47" s="98">
        <v>4.548E-4</v>
      </c>
      <c r="X47" s="99">
        <v>8.8020000000000004E-4</v>
      </c>
      <c r="Y47" s="100">
        <v>6.5247999999999999E-4</v>
      </c>
      <c r="Z47" s="100">
        <v>1.1698651E-3</v>
      </c>
      <c r="AA47" s="100">
        <v>4.4690609999999999E-4</v>
      </c>
      <c r="AB47" s="100">
        <v>8.3125810000000001E-4</v>
      </c>
      <c r="AC47" s="95">
        <v>2.8500000000000001E-3</v>
      </c>
      <c r="AD47" s="95">
        <v>4.5900000000000003E-3</v>
      </c>
      <c r="AE47" s="95">
        <v>2.5100000000000001E-3</v>
      </c>
      <c r="AF47" s="95">
        <v>2.2850000000000001E-3</v>
      </c>
      <c r="AG47" s="95">
        <v>2.2499999999999998E-3</v>
      </c>
      <c r="AH47" s="95">
        <v>2.575E-3</v>
      </c>
      <c r="AI47" s="95">
        <v>2.5100000000000001E-3</v>
      </c>
      <c r="AJ47" s="95">
        <v>1.1800000000000001E-3</v>
      </c>
      <c r="AK47" s="95">
        <v>1.41E-3</v>
      </c>
      <c r="AL47" s="95">
        <v>2.1099999999999999E-3</v>
      </c>
      <c r="AM47" s="97">
        <v>1.9620000000000002E-3</v>
      </c>
      <c r="AN47" s="95">
        <v>6.5099999999999999E-4</v>
      </c>
      <c r="AO47" s="95">
        <v>1.122E-3</v>
      </c>
      <c r="AP47" s="101">
        <v>4.7600000000000002E-4</v>
      </c>
      <c r="AQ47" s="101">
        <v>5.2899999999999996E-4</v>
      </c>
      <c r="AR47" s="101">
        <v>9.5500000000000001E-4</v>
      </c>
      <c r="AS47" s="101">
        <v>8.5999999999999998E-4</v>
      </c>
      <c r="AT47" s="101">
        <v>4.7800000000000002E-4</v>
      </c>
      <c r="AU47" s="101">
        <v>8.5099999999999998E-4</v>
      </c>
      <c r="AV47" s="95">
        <v>8.1930000000000002E-4</v>
      </c>
      <c r="AW47" s="95">
        <v>1.7899999999999999E-3</v>
      </c>
      <c r="AX47" s="95">
        <v>1.4769E-3</v>
      </c>
      <c r="AY47" s="95">
        <v>1.4450000000000001E-3</v>
      </c>
      <c r="AZ47" s="101">
        <v>1.444E-3</v>
      </c>
      <c r="BA47" s="101" t="s">
        <v>41</v>
      </c>
      <c r="BB47" s="95">
        <v>3.63E-3</v>
      </c>
      <c r="BC47" s="95">
        <v>1.073E-2</v>
      </c>
      <c r="BD47" s="95">
        <v>2.6158731144550608E-3</v>
      </c>
      <c r="BE47" s="95">
        <v>2.5678131800424783E-3</v>
      </c>
      <c r="BF47" s="95">
        <v>2.4905122227857706E-3</v>
      </c>
      <c r="BG47" s="101">
        <v>2.4124673767011258E-3</v>
      </c>
      <c r="BH47" s="95">
        <v>1.3439999999999999E-3</v>
      </c>
      <c r="BI47" s="101">
        <v>7.2899999999999996E-3</v>
      </c>
      <c r="BJ47" s="95">
        <v>4.75E-4</v>
      </c>
      <c r="BK47" s="95">
        <v>7.7300000000000003E-4</v>
      </c>
      <c r="BL47" s="95">
        <v>5.0769999999999999E-3</v>
      </c>
      <c r="BM47" s="102">
        <v>2.6619999999999999E-3</v>
      </c>
      <c r="BN47" s="95">
        <v>3.5620000000000001E-3</v>
      </c>
      <c r="BO47" s="101">
        <v>1.173E-3</v>
      </c>
      <c r="BP47" s="101">
        <v>1.6429999999999999E-3</v>
      </c>
      <c r="BQ47" s="101">
        <v>1.3979999999999999E-3</v>
      </c>
      <c r="BR47" s="101">
        <v>5.1400000000000003E-4</v>
      </c>
      <c r="BS47" s="101">
        <v>9.1500000000000001E-4</v>
      </c>
      <c r="BT47" s="95">
        <v>1.9400000000000001E-3</v>
      </c>
      <c r="BU47" s="95">
        <v>2.2499999999999998E-3</v>
      </c>
      <c r="BV47" s="97">
        <v>6.1600000000000002E-2</v>
      </c>
      <c r="BW47" s="97">
        <v>9.772827244574922E-2</v>
      </c>
      <c r="BX47" s="97">
        <v>8.8999999999999996E-2</v>
      </c>
      <c r="BY47" s="97">
        <v>7.4099999999999999E-2</v>
      </c>
      <c r="BZ47" s="96">
        <v>6.3899999999999998E-2</v>
      </c>
      <c r="CA47" s="97">
        <v>7.4999999999999997E-2</v>
      </c>
      <c r="CB47" s="97">
        <v>7.45E-3</v>
      </c>
      <c r="CC47" s="97">
        <v>2.2571000000000001E-2</v>
      </c>
      <c r="CD47" s="97">
        <v>2.5999999999999999E-2</v>
      </c>
      <c r="CE47" s="97">
        <v>3.0000000000000001E-5</v>
      </c>
      <c r="CF47" s="97">
        <v>1.2160000000000001E-2</v>
      </c>
      <c r="CG47" s="96">
        <v>6.3899999999999998E-2</v>
      </c>
      <c r="CH47" s="96">
        <v>6.3899999999999998E-2</v>
      </c>
      <c r="CI47" s="95">
        <v>6.8099999999999996E-4</v>
      </c>
      <c r="CJ47" s="95">
        <v>6.4000000000000005E-4</v>
      </c>
      <c r="CK47" s="101">
        <v>4.2100000000000002E-3</v>
      </c>
      <c r="CL47" s="96">
        <v>5.3199999999999997E-2</v>
      </c>
      <c r="CM47" s="101">
        <v>1.6800000000000001E-3</v>
      </c>
      <c r="CN47" s="101">
        <v>5.5999999999999999E-3</v>
      </c>
      <c r="CO47" s="95">
        <v>2.8700000000000002E-3</v>
      </c>
      <c r="CP47" s="95">
        <v>1.57E-3</v>
      </c>
      <c r="CQ47" s="101">
        <v>1.2899999999999999E-3</v>
      </c>
      <c r="CR47" s="95">
        <v>8.0000000000000004E-4</v>
      </c>
      <c r="CS47" s="95">
        <v>1.09E-3</v>
      </c>
      <c r="CT47" s="95">
        <v>1.92E-3</v>
      </c>
      <c r="CU47" s="95">
        <v>1.2800000000000001E-3</v>
      </c>
      <c r="CV47" s="95">
        <v>7.1000000000000002E-4</v>
      </c>
      <c r="CW47" s="95">
        <v>9.7999999999999997E-4</v>
      </c>
      <c r="CX47" s="95">
        <v>1.81E-3</v>
      </c>
      <c r="CY47" s="104">
        <v>6.1950000000000003</v>
      </c>
      <c r="CZ47" s="104">
        <v>5.6070000000000002</v>
      </c>
      <c r="DA47" s="104">
        <v>5.91</v>
      </c>
      <c r="DB47" s="104">
        <v>5.9</v>
      </c>
      <c r="DC47" s="104">
        <v>6.48</v>
      </c>
      <c r="DD47" s="104">
        <v>9.01</v>
      </c>
    </row>
    <row r="48" spans="1:108">
      <c r="A48" s="54">
        <v>36</v>
      </c>
      <c r="B48" s="95">
        <v>1.7600000000000001E-3</v>
      </c>
      <c r="C48" s="95">
        <v>9.0899999999999991E-3</v>
      </c>
      <c r="D48" s="96">
        <v>4.8099999999999998E-4</v>
      </c>
      <c r="E48" s="96">
        <v>7.1900000000000002E-4</v>
      </c>
      <c r="F48" s="95">
        <v>5.3399999999999997E-4</v>
      </c>
      <c r="G48" s="95">
        <v>7.94E-4</v>
      </c>
      <c r="H48" s="95">
        <v>1.01E-3</v>
      </c>
      <c r="I48" s="95">
        <v>1.4940000000000001E-3</v>
      </c>
      <c r="J48" s="95">
        <v>1.4940000000000001E-3</v>
      </c>
      <c r="K48" s="95">
        <v>1.3779999999999999E-3</v>
      </c>
      <c r="L48" s="95">
        <v>1.1999999999999999E-3</v>
      </c>
      <c r="M48" s="95">
        <v>6.3599999999999996E-4</v>
      </c>
      <c r="N48" s="95">
        <v>5.7399999999999997E-4</v>
      </c>
      <c r="O48" s="95">
        <v>1.077E-3</v>
      </c>
      <c r="P48" s="95">
        <v>9.68E-4</v>
      </c>
      <c r="Q48" s="97">
        <v>6.6E-4</v>
      </c>
      <c r="R48" s="97">
        <v>1.57E-3</v>
      </c>
      <c r="S48" s="97">
        <v>5.1000000000000004E-4</v>
      </c>
      <c r="T48" s="97">
        <v>1.15E-3</v>
      </c>
      <c r="U48" s="98">
        <v>7.0430000000000004E-4</v>
      </c>
      <c r="V48" s="99">
        <v>1.2596E-3</v>
      </c>
      <c r="W48" s="98">
        <v>4.9919999999999999E-4</v>
      </c>
      <c r="X48" s="99">
        <v>9.2020000000000003E-4</v>
      </c>
      <c r="Y48" s="100">
        <v>7.0122119999999999E-4</v>
      </c>
      <c r="Z48" s="100">
        <v>1.2239656E-3</v>
      </c>
      <c r="AA48" s="100">
        <v>4.7601700000000002E-4</v>
      </c>
      <c r="AB48" s="100">
        <v>8.6507649999999995E-4</v>
      </c>
      <c r="AC48" s="95">
        <v>3.0200000000000001E-3</v>
      </c>
      <c r="AD48" s="95">
        <v>4.8599999999999997E-3</v>
      </c>
      <c r="AE48" s="95">
        <v>2.64E-3</v>
      </c>
      <c r="AF48" s="95">
        <v>2.3600000000000001E-3</v>
      </c>
      <c r="AG48" s="95">
        <v>2.32E-3</v>
      </c>
      <c r="AH48" s="95">
        <v>2.7198999999999999E-3</v>
      </c>
      <c r="AI48" s="95">
        <v>2.64E-3</v>
      </c>
      <c r="AJ48" s="95">
        <v>1.24E-3</v>
      </c>
      <c r="AK48" s="95">
        <v>1.5299999999999999E-3</v>
      </c>
      <c r="AL48" s="95">
        <v>2.2400000000000002E-3</v>
      </c>
      <c r="AM48" s="97">
        <v>2.14E-3</v>
      </c>
      <c r="AN48" s="95">
        <v>6.9800000000000005E-4</v>
      </c>
      <c r="AO48" s="95">
        <v>1.204E-3</v>
      </c>
      <c r="AP48" s="101">
        <v>5.0199999999999995E-4</v>
      </c>
      <c r="AQ48" s="101">
        <v>5.5800000000000001E-4</v>
      </c>
      <c r="AR48" s="101">
        <v>1.008E-3</v>
      </c>
      <c r="AS48" s="101">
        <v>9.0700000000000004E-4</v>
      </c>
      <c r="AT48" s="101">
        <v>5.1199999999999998E-4</v>
      </c>
      <c r="AU48" s="101">
        <v>8.6200000000000003E-4</v>
      </c>
      <c r="AV48" s="95">
        <v>8.6930000000000004E-4</v>
      </c>
      <c r="AW48" s="95">
        <v>1.9109999999999999E-3</v>
      </c>
      <c r="AX48" s="95">
        <v>1.5770000000000001E-3</v>
      </c>
      <c r="AY48" s="95">
        <v>1.5049999999999998E-3</v>
      </c>
      <c r="AZ48" s="101">
        <v>1.5009999999999999E-3</v>
      </c>
      <c r="BA48" s="101" t="s">
        <v>42</v>
      </c>
      <c r="BB48" s="95">
        <v>3.8600000000000001E-3</v>
      </c>
      <c r="BC48" s="95">
        <v>1.0970000000000001E-2</v>
      </c>
      <c r="BD48" s="95">
        <v>2.7517207642529739E-3</v>
      </c>
      <c r="BE48" s="95">
        <v>2.6855348033297524E-3</v>
      </c>
      <c r="BF48" s="95">
        <v>2.6221280391132396E-3</v>
      </c>
      <c r="BG48" s="101">
        <v>2.5410345902631562E-3</v>
      </c>
      <c r="BH48" s="95">
        <v>1.4430000000000001E-3</v>
      </c>
      <c r="BI48" s="101">
        <v>7.4700000000000001E-3</v>
      </c>
      <c r="BJ48" s="95">
        <v>5.1400000000000003E-4</v>
      </c>
      <c r="BK48" s="95">
        <v>8.4099999999999995E-4</v>
      </c>
      <c r="BL48" s="95">
        <v>5.372E-3</v>
      </c>
      <c r="BM48" s="102">
        <v>2.8760000000000001E-3</v>
      </c>
      <c r="BN48" s="95">
        <v>3.8189999999999999E-3</v>
      </c>
      <c r="BO48" s="101">
        <v>1.2080000000000001E-3</v>
      </c>
      <c r="BP48" s="101">
        <v>1.792E-3</v>
      </c>
      <c r="BQ48" s="101">
        <v>1.513E-3</v>
      </c>
      <c r="BR48" s="101">
        <v>5.5000000000000003E-4</v>
      </c>
      <c r="BS48" s="101">
        <v>9.2699999999999998E-4</v>
      </c>
      <c r="BT48" s="95">
        <v>2.0899999999999998E-3</v>
      </c>
      <c r="BU48" s="95">
        <v>2.3900000000000002E-3</v>
      </c>
      <c r="BV48" s="97">
        <v>6.0499999999999998E-2</v>
      </c>
      <c r="BW48" s="97">
        <v>9.5076152580871653E-2</v>
      </c>
      <c r="BX48" s="97">
        <v>8.7999999999999995E-2</v>
      </c>
      <c r="BY48" s="97">
        <v>7.2900000000000006E-2</v>
      </c>
      <c r="BZ48" s="96">
        <v>6.3899999999999998E-2</v>
      </c>
      <c r="CA48" s="97">
        <v>7.0000000000000007E-2</v>
      </c>
      <c r="CB48" s="97">
        <v>7.45E-3</v>
      </c>
      <c r="CC48" s="97">
        <v>2.2571000000000001E-2</v>
      </c>
      <c r="CD48" s="97">
        <v>2.5999999999999999E-2</v>
      </c>
      <c r="CE48" s="97">
        <v>3.0000000000000001E-5</v>
      </c>
      <c r="CF48" s="97">
        <v>1.2579999999999999E-2</v>
      </c>
      <c r="CG48" s="96">
        <v>6.3899999999999998E-2</v>
      </c>
      <c r="CH48" s="96">
        <v>6.3899999999999998E-2</v>
      </c>
      <c r="CI48" s="95">
        <v>7.0399999999999998E-4</v>
      </c>
      <c r="CJ48" s="95">
        <v>6.4999999999999997E-4</v>
      </c>
      <c r="CK48" s="101">
        <v>4.28E-3</v>
      </c>
      <c r="CL48" s="96">
        <v>5.2900000000000003E-2</v>
      </c>
      <c r="CM48" s="101">
        <v>1.73E-3</v>
      </c>
      <c r="CN48" s="101">
        <v>5.7999999999999996E-3</v>
      </c>
      <c r="CO48" s="95">
        <v>3.14E-3</v>
      </c>
      <c r="CP48" s="95">
        <v>1.72E-3</v>
      </c>
      <c r="CQ48" s="101">
        <v>1.34E-3</v>
      </c>
      <c r="CR48" s="95">
        <v>8.0000000000000004E-4</v>
      </c>
      <c r="CS48" s="95">
        <v>1.24E-3</v>
      </c>
      <c r="CT48" s="95">
        <v>1.9499999999999999E-3</v>
      </c>
      <c r="CU48" s="95">
        <v>1.2999999999999999E-3</v>
      </c>
      <c r="CV48" s="95">
        <v>7.2000000000000005E-4</v>
      </c>
      <c r="CW48" s="95">
        <v>1.08E-3</v>
      </c>
      <c r="CX48" s="95">
        <v>2.1800000000000001E-3</v>
      </c>
      <c r="CY48" s="104">
        <v>6.335</v>
      </c>
      <c r="CZ48" s="104">
        <v>5.6230000000000002</v>
      </c>
      <c r="DA48" s="104">
        <v>6.11</v>
      </c>
      <c r="DB48" s="104">
        <v>6.03</v>
      </c>
      <c r="DC48" s="104">
        <v>6.67</v>
      </c>
      <c r="DD48" s="104">
        <v>9.26</v>
      </c>
    </row>
    <row r="49" spans="1:108">
      <c r="A49" s="54">
        <v>37</v>
      </c>
      <c r="B49" s="95">
        <v>1.91E-3</v>
      </c>
      <c r="C49" s="95">
        <v>9.2300000000000004E-3</v>
      </c>
      <c r="D49" s="96">
        <v>5.04E-4</v>
      </c>
      <c r="E49" s="96">
        <v>7.4899999999999999E-4</v>
      </c>
      <c r="F49" s="95">
        <v>5.5800000000000001E-4</v>
      </c>
      <c r="G49" s="95">
        <v>8.2299999999999995E-4</v>
      </c>
      <c r="H49" s="95">
        <v>1.085E-3</v>
      </c>
      <c r="I49" s="95">
        <v>1.6069999999999999E-3</v>
      </c>
      <c r="J49" s="95">
        <v>1.6069999999999999E-3</v>
      </c>
      <c r="K49" s="95">
        <v>1.495E-3</v>
      </c>
      <c r="L49" s="95">
        <v>1.2999999999999999E-3</v>
      </c>
      <c r="M49" s="95">
        <v>6.7299999999999999E-4</v>
      </c>
      <c r="N49" s="95">
        <v>6.0700000000000001E-4</v>
      </c>
      <c r="O49" s="95">
        <v>1.1460000000000001E-3</v>
      </c>
      <c r="P49" s="95">
        <v>1.0319999999999999E-3</v>
      </c>
      <c r="Q49" s="97">
        <v>7.1000000000000002E-4</v>
      </c>
      <c r="R49" s="97">
        <v>1.66E-3</v>
      </c>
      <c r="S49" s="97">
        <v>5.4000000000000001E-4</v>
      </c>
      <c r="T49" s="97">
        <v>1.2099999999999999E-3</v>
      </c>
      <c r="U49" s="98">
        <v>7.494E-4</v>
      </c>
      <c r="V49" s="99">
        <v>1.3443000000000001E-3</v>
      </c>
      <c r="W49" s="98">
        <v>5.3370000000000002E-4</v>
      </c>
      <c r="X49" s="99">
        <v>9.5120000000000003E-4</v>
      </c>
      <c r="Y49" s="100">
        <v>7.5594900000000001E-4</v>
      </c>
      <c r="Z49" s="100">
        <v>1.289608E-3</v>
      </c>
      <c r="AA49" s="100">
        <v>5.0942830000000002E-4</v>
      </c>
      <c r="AB49" s="100">
        <v>9.0908220000000004E-4</v>
      </c>
      <c r="AC49" s="95">
        <v>3.2100000000000002E-3</v>
      </c>
      <c r="AD49" s="95">
        <v>5.1500000000000001E-3</v>
      </c>
      <c r="AE49" s="95">
        <v>2.8E-3</v>
      </c>
      <c r="AF49" s="95">
        <v>2.4548999999999999E-3</v>
      </c>
      <c r="AG49" s="95">
        <v>2.3999999999999998E-3</v>
      </c>
      <c r="AH49" s="95">
        <v>2.9049000000000002E-3</v>
      </c>
      <c r="AI49" s="95">
        <v>2.8E-3</v>
      </c>
      <c r="AJ49" s="95">
        <v>1.31E-3</v>
      </c>
      <c r="AK49" s="95">
        <v>1.6800000000000001E-3</v>
      </c>
      <c r="AL49" s="95">
        <v>2.3999999999999998E-3</v>
      </c>
      <c r="AM49" s="97">
        <v>2.336E-3</v>
      </c>
      <c r="AN49" s="95">
        <v>7.5000000000000002E-4</v>
      </c>
      <c r="AO49" s="95">
        <v>1.2949999999999999E-3</v>
      </c>
      <c r="AP49" s="101">
        <v>5.3600000000000002E-4</v>
      </c>
      <c r="AQ49" s="101">
        <v>5.9500000000000004E-4</v>
      </c>
      <c r="AR49" s="101">
        <v>1.073E-3</v>
      </c>
      <c r="AS49" s="101">
        <v>9.6599999999999995E-4</v>
      </c>
      <c r="AT49" s="101">
        <v>5.5099999999999995E-4</v>
      </c>
      <c r="AU49" s="101">
        <v>8.9099999999999997E-4</v>
      </c>
      <c r="AV49" s="95">
        <v>9.2159999999999996E-4</v>
      </c>
      <c r="AW49" s="95">
        <v>2.052E-3</v>
      </c>
      <c r="AX49" s="95">
        <v>1.6999999999999999E-3</v>
      </c>
      <c r="AY49" s="95">
        <v>1.575E-3</v>
      </c>
      <c r="AZ49" s="101">
        <v>1.5709999999999999E-3</v>
      </c>
      <c r="BA49" s="101" t="s">
        <v>43</v>
      </c>
      <c r="BB49" s="95">
        <v>4.1099999999999999E-3</v>
      </c>
      <c r="BC49" s="95">
        <v>1.124E-2</v>
      </c>
      <c r="BD49" s="95">
        <v>2.8994350198614503E-3</v>
      </c>
      <c r="BE49" s="95">
        <v>2.8502474059239184E-3</v>
      </c>
      <c r="BF49" s="95">
        <v>2.7701719927965473E-3</v>
      </c>
      <c r="BG49" s="101">
        <v>2.686627809602569E-3</v>
      </c>
      <c r="BH49" s="95">
        <v>1.5510000000000001E-3</v>
      </c>
      <c r="BI49" s="101">
        <v>7.6600000000000001E-3</v>
      </c>
      <c r="BJ49" s="95">
        <v>5.5400000000000002E-4</v>
      </c>
      <c r="BK49" s="95">
        <v>9.0399999999999996E-4</v>
      </c>
      <c r="BL49" s="95">
        <v>5.6969999999999998E-3</v>
      </c>
      <c r="BM49" s="102">
        <v>3.1180000000000001E-3</v>
      </c>
      <c r="BN49" s="95">
        <v>4.1009999999999996E-3</v>
      </c>
      <c r="BO49" s="101">
        <v>1.297E-3</v>
      </c>
      <c r="BP49" s="101">
        <v>1.9480000000000001E-3</v>
      </c>
      <c r="BQ49" s="101">
        <v>1.6429999999999999E-3</v>
      </c>
      <c r="BR49" s="101">
        <v>5.9299999999999999E-4</v>
      </c>
      <c r="BS49" s="101">
        <v>9.5799999999999998E-4</v>
      </c>
      <c r="BT49" s="95">
        <v>2.2799999999999999E-3</v>
      </c>
      <c r="BU49" s="95">
        <v>2.5600000000000002E-3</v>
      </c>
      <c r="BV49" s="97">
        <v>5.9299999999999999E-2</v>
      </c>
      <c r="BW49" s="97">
        <v>9.2532412923418073E-2</v>
      </c>
      <c r="BX49" s="97">
        <v>8.7999999999999995E-2</v>
      </c>
      <c r="BY49" s="97">
        <v>7.1800000000000003E-2</v>
      </c>
      <c r="BZ49" s="96">
        <v>6.3899999999999998E-2</v>
      </c>
      <c r="CA49" s="97">
        <v>6.5000000000000002E-2</v>
      </c>
      <c r="CB49" s="97">
        <v>7.45E-3</v>
      </c>
      <c r="CC49" s="97">
        <v>2.2571000000000001E-2</v>
      </c>
      <c r="CD49" s="97">
        <v>2.5999999999999999E-2</v>
      </c>
      <c r="CE49" s="97">
        <v>3.0000000000000001E-5</v>
      </c>
      <c r="CF49" s="97">
        <v>1.303E-2</v>
      </c>
      <c r="CG49" s="96">
        <v>6.3899999999999998E-2</v>
      </c>
      <c r="CH49" s="96">
        <v>6.3899999999999998E-2</v>
      </c>
      <c r="CI49" s="95">
        <v>7.3200000000000001E-4</v>
      </c>
      <c r="CJ49" s="95">
        <v>6.6E-4</v>
      </c>
      <c r="CK49" s="101">
        <v>4.3699999999999998E-3</v>
      </c>
      <c r="CL49" s="96">
        <v>5.2699999999999997E-2</v>
      </c>
      <c r="CM49" s="101">
        <v>1.7799999999999999E-3</v>
      </c>
      <c r="CN49" s="101">
        <v>6.0000000000000001E-3</v>
      </c>
      <c r="CO49" s="95">
        <v>3.46E-3</v>
      </c>
      <c r="CP49" s="95">
        <v>1.91E-3</v>
      </c>
      <c r="CQ49" s="101">
        <v>1.4E-3</v>
      </c>
      <c r="CR49" s="95">
        <v>8.9999999999999998E-4</v>
      </c>
      <c r="CS49" s="95">
        <v>1.39E-3</v>
      </c>
      <c r="CT49" s="95">
        <v>2E-3</v>
      </c>
      <c r="CU49" s="95">
        <v>1.33E-3</v>
      </c>
      <c r="CV49" s="95">
        <v>7.3999999999999999E-4</v>
      </c>
      <c r="CW49" s="95">
        <v>1.1900000000000001E-3</v>
      </c>
      <c r="CX49" s="95">
        <v>2.3500000000000001E-3</v>
      </c>
      <c r="CY49" s="104">
        <v>6.4960000000000004</v>
      </c>
      <c r="CZ49" s="104">
        <v>5.6120000000000001</v>
      </c>
      <c r="DA49" s="104">
        <v>6.29</v>
      </c>
      <c r="DB49" s="104">
        <v>6.17</v>
      </c>
      <c r="DC49" s="104">
        <v>6.84</v>
      </c>
      <c r="DD49" s="104">
        <v>9.49</v>
      </c>
    </row>
    <row r="50" spans="1:108">
      <c r="A50" s="54">
        <v>38</v>
      </c>
      <c r="B50" s="95">
        <v>2.0899999999999998E-3</v>
      </c>
      <c r="C50" s="95">
        <v>9.41E-3</v>
      </c>
      <c r="D50" s="96">
        <v>5.3200000000000003E-4</v>
      </c>
      <c r="E50" s="96">
        <v>7.9600000000000005E-4</v>
      </c>
      <c r="F50" s="95">
        <v>5.9000000000000003E-4</v>
      </c>
      <c r="G50" s="95">
        <v>8.7200000000000005E-4</v>
      </c>
      <c r="H50" s="95">
        <v>1.1670000000000001E-3</v>
      </c>
      <c r="I50" s="95">
        <v>1.7329999999999999E-3</v>
      </c>
      <c r="J50" s="95">
        <v>1.7330000000000002E-3</v>
      </c>
      <c r="K50" s="95">
        <v>1.624E-3</v>
      </c>
      <c r="L50" s="95">
        <v>1.4E-3</v>
      </c>
      <c r="M50" s="95">
        <v>7.1699999999999997E-4</v>
      </c>
      <c r="N50" s="95">
        <v>6.4599999999999998E-4</v>
      </c>
      <c r="O50" s="95">
        <v>1.232E-3</v>
      </c>
      <c r="P50" s="95">
        <v>1.114E-3</v>
      </c>
      <c r="Q50" s="97">
        <v>7.6000000000000004E-4</v>
      </c>
      <c r="R50" s="97">
        <v>1.7600000000000001E-3</v>
      </c>
      <c r="S50" s="97">
        <v>5.8E-4</v>
      </c>
      <c r="T50" s="97">
        <v>1.2800000000000001E-3</v>
      </c>
      <c r="U50" s="98">
        <v>7.9909999999999996E-4</v>
      </c>
      <c r="V50" s="99">
        <v>1.4038E-3</v>
      </c>
      <c r="W50" s="98">
        <v>5.5780000000000001E-4</v>
      </c>
      <c r="X50" s="99">
        <v>9.8759999999999994E-4</v>
      </c>
      <c r="Y50" s="100">
        <v>8.1708849999999995E-4</v>
      </c>
      <c r="Z50" s="100">
        <v>1.3672425E-3</v>
      </c>
      <c r="AA50" s="100">
        <v>5.4744639999999996E-4</v>
      </c>
      <c r="AB50" s="100">
        <v>9.6296969999999996E-4</v>
      </c>
      <c r="AC50" s="95">
        <v>3.4499999999999999E-3</v>
      </c>
      <c r="AD50" s="95">
        <v>5.4599999999999996E-3</v>
      </c>
      <c r="AE50" s="95">
        <v>3.0100000000000001E-3</v>
      </c>
      <c r="AF50" s="95">
        <v>2.575E-3</v>
      </c>
      <c r="AG50" s="95">
        <v>2.5100000000000001E-3</v>
      </c>
      <c r="AH50" s="95">
        <v>3.1297E-3</v>
      </c>
      <c r="AI50" s="95">
        <v>3.0100000000000001E-3</v>
      </c>
      <c r="AJ50" s="95">
        <v>1.41E-3</v>
      </c>
      <c r="AK50" s="95">
        <v>1.8799999999999999E-3</v>
      </c>
      <c r="AL50" s="95">
        <v>2.5800000000000003E-3</v>
      </c>
      <c r="AM50" s="97">
        <v>2.5790000000000001E-3</v>
      </c>
      <c r="AN50" s="95">
        <v>8.0699999999999999E-4</v>
      </c>
      <c r="AO50" s="95">
        <v>1.397E-3</v>
      </c>
      <c r="AP50" s="101">
        <v>5.7300000000000005E-4</v>
      </c>
      <c r="AQ50" s="101">
        <v>6.3699999999999998E-4</v>
      </c>
      <c r="AR50" s="101">
        <v>1.1540000000000001E-3</v>
      </c>
      <c r="AS50" s="101">
        <v>1.039E-3</v>
      </c>
      <c r="AT50" s="101">
        <v>5.9800000000000001E-4</v>
      </c>
      <c r="AU50" s="101">
        <v>9.3899999999999995E-4</v>
      </c>
      <c r="AV50" s="95">
        <v>9.7559999999999997E-4</v>
      </c>
      <c r="AW50" s="95">
        <v>2.2169999999999998E-3</v>
      </c>
      <c r="AX50" s="95">
        <v>1.8473999999999999E-3</v>
      </c>
      <c r="AY50" s="95">
        <v>1.6590000000000001E-3</v>
      </c>
      <c r="AZ50" s="101">
        <v>1.6540000000000001E-3</v>
      </c>
      <c r="BA50" s="101" t="s">
        <v>44</v>
      </c>
      <c r="BB50" s="95">
        <v>4.3800000000000002E-3</v>
      </c>
      <c r="BC50" s="95">
        <v>1.1520000000000001E-2</v>
      </c>
      <c r="BD50" s="95">
        <v>3.0808247726504269E-3</v>
      </c>
      <c r="BE50" s="95">
        <v>3.0055923371228956E-3</v>
      </c>
      <c r="BF50" s="95">
        <v>2.936270243267378E-3</v>
      </c>
      <c r="BG50" s="101">
        <v>2.8511332330598861E-3</v>
      </c>
      <c r="BH50" s="95">
        <v>1.67E-3</v>
      </c>
      <c r="BI50" s="101">
        <v>7.8600000000000007E-3</v>
      </c>
      <c r="BJ50" s="95">
        <v>5.9800000000000001E-4</v>
      </c>
      <c r="BK50" s="95">
        <v>9.6400000000000001E-4</v>
      </c>
      <c r="BL50" s="95">
        <v>6.0559999999999998E-3</v>
      </c>
      <c r="BM50" s="102">
        <v>3.4169999999999999E-3</v>
      </c>
      <c r="BN50" s="95">
        <v>4.4120000000000001E-3</v>
      </c>
      <c r="BO50" s="101">
        <v>1.3979999999999999E-3</v>
      </c>
      <c r="BP50" s="101">
        <v>2.1250000000000002E-3</v>
      </c>
      <c r="BQ50" s="101">
        <v>1.792E-3</v>
      </c>
      <c r="BR50" s="101">
        <v>6.4300000000000002E-4</v>
      </c>
      <c r="BS50" s="101">
        <v>1.01E-3</v>
      </c>
      <c r="BT50" s="95">
        <v>2.49E-3</v>
      </c>
      <c r="BU50" s="95">
        <v>2.7699999999999999E-3</v>
      </c>
      <c r="BV50" s="97">
        <v>5.7799999999999997E-2</v>
      </c>
      <c r="BW50" s="97">
        <v>9.0097032538020927E-2</v>
      </c>
      <c r="BX50" s="97">
        <v>8.6999999999999994E-2</v>
      </c>
      <c r="BY50" s="97">
        <v>7.0699999999999999E-2</v>
      </c>
      <c r="BZ50" s="96">
        <v>6.3899999999999998E-2</v>
      </c>
      <c r="CA50" s="97">
        <v>0.06</v>
      </c>
      <c r="CB50" s="97">
        <v>7.45E-3</v>
      </c>
      <c r="CC50" s="97">
        <v>2.2571000000000001E-2</v>
      </c>
      <c r="CD50" s="97">
        <v>2.5999999999999999E-2</v>
      </c>
      <c r="CE50" s="97">
        <v>3.0000000000000001E-5</v>
      </c>
      <c r="CF50" s="97">
        <v>1.3509999999999999E-2</v>
      </c>
      <c r="CG50" s="96">
        <v>6.3899999999999998E-2</v>
      </c>
      <c r="CH50" s="96">
        <v>6.3899999999999998E-2</v>
      </c>
      <c r="CI50" s="95">
        <v>7.6400000000000003E-4</v>
      </c>
      <c r="CJ50" s="95">
        <v>6.8000000000000005E-4</v>
      </c>
      <c r="CK50" s="101">
        <v>4.47E-3</v>
      </c>
      <c r="CL50" s="96">
        <v>5.2600000000000001E-2</v>
      </c>
      <c r="CM50" s="101">
        <v>1.8400000000000001E-3</v>
      </c>
      <c r="CN50" s="101">
        <v>6.4000000000000003E-3</v>
      </c>
      <c r="CO50" s="95">
        <v>3.8300000000000001E-3</v>
      </c>
      <c r="CP50" s="95">
        <v>2.1199999999999999E-3</v>
      </c>
      <c r="CQ50" s="101">
        <v>1.47E-3</v>
      </c>
      <c r="CR50" s="95">
        <v>1E-3</v>
      </c>
      <c r="CS50" s="95">
        <v>1.57E-3</v>
      </c>
      <c r="CT50" s="95">
        <v>2.0600000000000002E-3</v>
      </c>
      <c r="CU50" s="95">
        <v>1.3699999999999999E-3</v>
      </c>
      <c r="CV50" s="95">
        <v>7.6000000000000004E-4</v>
      </c>
      <c r="CW50" s="95">
        <v>1.31E-3</v>
      </c>
      <c r="CX50" s="95">
        <v>2.6199999999999999E-3</v>
      </c>
      <c r="CY50" s="104">
        <v>6.6849999999999996</v>
      </c>
      <c r="CZ50" s="104">
        <v>5.6890000000000001</v>
      </c>
      <c r="DA50" s="104">
        <v>6.45</v>
      </c>
      <c r="DB50" s="104">
        <v>6.33</v>
      </c>
      <c r="DC50" s="104">
        <v>6.99</v>
      </c>
      <c r="DD50" s="104">
        <v>9.7200000000000006</v>
      </c>
    </row>
    <row r="51" spans="1:108">
      <c r="A51" s="54">
        <v>39</v>
      </c>
      <c r="B51" s="95">
        <v>2.2799999999999999E-3</v>
      </c>
      <c r="C51" s="95">
        <v>9.5899999999999996E-3</v>
      </c>
      <c r="D51" s="96">
        <v>5.6700000000000001E-4</v>
      </c>
      <c r="E51" s="96">
        <v>8.6399999999999997E-4</v>
      </c>
      <c r="F51" s="95">
        <v>6.3000000000000003E-4</v>
      </c>
      <c r="G51" s="95">
        <v>9.4499999999999998E-4</v>
      </c>
      <c r="H51" s="95">
        <v>1.256E-3</v>
      </c>
      <c r="I51" s="95">
        <v>1.872E-3</v>
      </c>
      <c r="J51" s="95">
        <v>1.8720000000000002E-3</v>
      </c>
      <c r="K51" s="95">
        <v>1.7669999999999999E-3</v>
      </c>
      <c r="L51" s="95">
        <v>1.5100000000000001E-3</v>
      </c>
      <c r="M51" s="95">
        <v>7.6900000000000004E-4</v>
      </c>
      <c r="N51" s="95">
        <v>6.9099999999999999E-4</v>
      </c>
      <c r="O51" s="95">
        <v>1.341E-3</v>
      </c>
      <c r="P51" s="95">
        <v>1.2160000000000001E-3</v>
      </c>
      <c r="Q51" s="97">
        <v>8.1999999999999998E-4</v>
      </c>
      <c r="R51" s="97">
        <v>1.8600000000000001E-3</v>
      </c>
      <c r="S51" s="97">
        <v>6.2E-4</v>
      </c>
      <c r="T51" s="97">
        <v>1.3600000000000001E-3</v>
      </c>
      <c r="U51" s="98">
        <v>8.6300000000000005E-4</v>
      </c>
      <c r="V51" s="99">
        <v>1.4580000000000001E-3</v>
      </c>
      <c r="W51" s="98">
        <v>5.7689999999999998E-4</v>
      </c>
      <c r="X51" s="99">
        <v>1.0291E-3</v>
      </c>
      <c r="Y51" s="100">
        <v>8.8508990000000002E-4</v>
      </c>
      <c r="Z51" s="100">
        <v>1.4575733000000001E-3</v>
      </c>
      <c r="AA51" s="100">
        <v>5.9025250000000005E-4</v>
      </c>
      <c r="AB51" s="100">
        <v>1.0267543000000001E-3</v>
      </c>
      <c r="AC51" s="95">
        <v>3.7200000000000002E-3</v>
      </c>
      <c r="AD51" s="95">
        <v>5.8100000000000001E-3</v>
      </c>
      <c r="AE51" s="95">
        <v>3.2499999999999999E-3</v>
      </c>
      <c r="AF51" s="95">
        <v>2.7198999999999999E-3</v>
      </c>
      <c r="AG51" s="95">
        <v>2.64E-3</v>
      </c>
      <c r="AH51" s="95">
        <v>3.3898000000000001E-3</v>
      </c>
      <c r="AI51" s="95">
        <v>3.2499999999999999E-3</v>
      </c>
      <c r="AJ51" s="95">
        <v>1.5299999999999999E-3</v>
      </c>
      <c r="AK51" s="95">
        <v>2.0999999999999999E-3</v>
      </c>
      <c r="AL51" s="95">
        <v>2.7899999999999999E-3</v>
      </c>
      <c r="AM51" s="97">
        <v>2.859E-3</v>
      </c>
      <c r="AN51" s="95">
        <v>8.6899999999999998E-4</v>
      </c>
      <c r="AO51" s="95">
        <v>1.5089999999999999E-3</v>
      </c>
      <c r="AP51" s="101">
        <v>6.1700000000000004E-4</v>
      </c>
      <c r="AQ51" s="101">
        <v>6.8599999999999998E-4</v>
      </c>
      <c r="AR51" s="101">
        <v>1.253E-3</v>
      </c>
      <c r="AS51" s="101">
        <v>1.1280000000000001E-3</v>
      </c>
      <c r="AT51" s="101">
        <v>6.5200000000000002E-4</v>
      </c>
      <c r="AU51" s="101">
        <v>9.990000000000001E-4</v>
      </c>
      <c r="AV51" s="95">
        <v>1.0303999999999999E-3</v>
      </c>
      <c r="AW51" s="95">
        <v>2.4069999999999999E-3</v>
      </c>
      <c r="AX51" s="95">
        <v>2.0209E-3</v>
      </c>
      <c r="AY51" s="95">
        <v>1.7569999999999999E-3</v>
      </c>
      <c r="AZ51" s="101">
        <v>1.75E-3</v>
      </c>
      <c r="BA51" s="101" t="s">
        <v>45</v>
      </c>
      <c r="BB51" s="95">
        <v>4.6699999999999997E-3</v>
      </c>
      <c r="BC51" s="95">
        <v>1.184E-2</v>
      </c>
      <c r="BD51" s="95">
        <v>3.2746819892562071E-3</v>
      </c>
      <c r="BE51" s="95">
        <v>3.2023978689547294E-3</v>
      </c>
      <c r="BF51" s="95">
        <v>3.1209461316249101E-3</v>
      </c>
      <c r="BG51" s="101">
        <v>3.0346760094693628E-3</v>
      </c>
      <c r="BH51" s="95">
        <v>1.8029999999999999E-3</v>
      </c>
      <c r="BI51" s="101">
        <v>8.09E-3</v>
      </c>
      <c r="BJ51" s="95">
        <v>6.4800000000000003E-4</v>
      </c>
      <c r="BK51" s="95">
        <v>1.021E-3</v>
      </c>
      <c r="BL51" s="95">
        <v>6.4530000000000004E-3</v>
      </c>
      <c r="BM51" s="102">
        <v>3.761E-3</v>
      </c>
      <c r="BN51" s="95">
        <v>4.7549999999999997E-3</v>
      </c>
      <c r="BO51" s="101">
        <v>1.513E-3</v>
      </c>
      <c r="BP51" s="101">
        <v>2.3270000000000001E-3</v>
      </c>
      <c r="BQ51" s="101">
        <v>1.9480000000000001E-3</v>
      </c>
      <c r="BR51" s="101">
        <v>7.0100000000000002E-4</v>
      </c>
      <c r="BS51" s="101">
        <v>1.075E-3</v>
      </c>
      <c r="BT51" s="95">
        <v>2.7299999999999998E-3</v>
      </c>
      <c r="BU51" s="95">
        <v>3.0200000000000001E-3</v>
      </c>
      <c r="BV51" s="97">
        <v>5.7200000000000001E-2</v>
      </c>
      <c r="BW51" s="97">
        <v>8.7770139577122652E-2</v>
      </c>
      <c r="BX51" s="97">
        <v>8.5999999999999993E-2</v>
      </c>
      <c r="BY51" s="97">
        <v>6.9599999999999995E-2</v>
      </c>
      <c r="BZ51" s="96">
        <v>6.3299999999999995E-2</v>
      </c>
      <c r="CA51" s="97">
        <v>5.5E-2</v>
      </c>
      <c r="CB51" s="97">
        <v>7.45E-3</v>
      </c>
      <c r="CC51" s="97">
        <v>2.2571000000000001E-2</v>
      </c>
      <c r="CD51" s="97">
        <v>2.5999999999999999E-2</v>
      </c>
      <c r="CE51" s="97">
        <v>3.0000000000000001E-5</v>
      </c>
      <c r="CF51" s="97">
        <v>1.401E-2</v>
      </c>
      <c r="CG51" s="96">
        <v>6.3299999999999995E-2</v>
      </c>
      <c r="CH51" s="96">
        <v>6.3299999999999995E-2</v>
      </c>
      <c r="CI51" s="95">
        <v>8.0099999999999995E-4</v>
      </c>
      <c r="CJ51" s="95">
        <v>6.9999999999999999E-4</v>
      </c>
      <c r="CK51" s="101">
        <v>4.5900000000000003E-3</v>
      </c>
      <c r="CL51" s="96">
        <v>5.2499999999999998E-2</v>
      </c>
      <c r="CM51" s="101">
        <v>1.91E-3</v>
      </c>
      <c r="CN51" s="101">
        <v>6.7000000000000002E-3</v>
      </c>
      <c r="CO51" s="95">
        <v>4.1999999999999997E-3</v>
      </c>
      <c r="CP51" s="95">
        <v>2.3400000000000001E-3</v>
      </c>
      <c r="CQ51" s="101">
        <v>1.5499999999999999E-3</v>
      </c>
      <c r="CR51" s="95">
        <v>1.1000000000000001E-3</v>
      </c>
      <c r="CS51" s="95">
        <v>1.7700000000000001E-3</v>
      </c>
      <c r="CT51" s="95">
        <v>2.1299999999999999E-3</v>
      </c>
      <c r="CU51" s="95">
        <v>1.42E-3</v>
      </c>
      <c r="CV51" s="95">
        <v>7.9000000000000001E-4</v>
      </c>
      <c r="CW51" s="95">
        <v>1.4300000000000001E-3</v>
      </c>
      <c r="CX51" s="95">
        <v>2.9299999999999999E-3</v>
      </c>
      <c r="CY51" s="104">
        <v>6.8810000000000002</v>
      </c>
      <c r="CZ51" s="104">
        <v>5.74</v>
      </c>
      <c r="DA51" s="104">
        <v>6.64</v>
      </c>
      <c r="DB51" s="104">
        <v>6.51</v>
      </c>
      <c r="DC51" s="104">
        <v>7.12</v>
      </c>
      <c r="DD51" s="104">
        <v>9.9700000000000006</v>
      </c>
    </row>
    <row r="52" spans="1:108">
      <c r="A52" s="54">
        <v>40</v>
      </c>
      <c r="B52" s="95">
        <v>2.48E-3</v>
      </c>
      <c r="C52" s="95">
        <v>9.7899999999999984E-3</v>
      </c>
      <c r="D52" s="96">
        <v>6.0899999999999995E-4</v>
      </c>
      <c r="E52" s="96">
        <v>9.5299999999999996E-4</v>
      </c>
      <c r="F52" s="95">
        <v>6.7699999999999998E-4</v>
      </c>
      <c r="G52" s="95">
        <v>1.0430000000000001E-3</v>
      </c>
      <c r="H52" s="95">
        <v>1.3550000000000001E-3</v>
      </c>
      <c r="I52" s="95">
        <v>2.0249999999999999E-3</v>
      </c>
      <c r="J52" s="95">
        <v>2.0249999999999999E-3</v>
      </c>
      <c r="K52" s="95">
        <v>1.9250000000000001E-3</v>
      </c>
      <c r="L52" s="95">
        <v>1.6299999999999999E-3</v>
      </c>
      <c r="M52" s="95">
        <v>8.2700000000000004E-4</v>
      </c>
      <c r="N52" s="95">
        <v>7.4200000000000004E-4</v>
      </c>
      <c r="O52" s="95">
        <v>1.4760000000000001E-3</v>
      </c>
      <c r="P52" s="95">
        <v>1.341E-3</v>
      </c>
      <c r="Q52" s="97">
        <v>8.8000000000000003E-4</v>
      </c>
      <c r="R52" s="97">
        <v>1.98E-3</v>
      </c>
      <c r="S52" s="97">
        <v>6.6E-4</v>
      </c>
      <c r="T52" s="97">
        <v>1.4400000000000001E-3</v>
      </c>
      <c r="U52" s="98">
        <v>9.412E-4</v>
      </c>
      <c r="V52" s="99">
        <v>1.5361999999999999E-3</v>
      </c>
      <c r="W52" s="98">
        <v>5.9679999999999998E-4</v>
      </c>
      <c r="X52" s="99">
        <v>1.0882999999999999E-3</v>
      </c>
      <c r="Y52" s="100">
        <v>9.6042070000000005E-4</v>
      </c>
      <c r="Z52" s="100">
        <v>1.5612104000000001E-3</v>
      </c>
      <c r="AA52" s="100">
        <v>6.3836800000000005E-4</v>
      </c>
      <c r="AB52" s="100">
        <v>1.1018664000000001E-3</v>
      </c>
      <c r="AC52" s="95">
        <v>4.0200000000000001E-3</v>
      </c>
      <c r="AD52" s="95">
        <v>6.1799999999999997E-3</v>
      </c>
      <c r="AE52" s="95">
        <v>3.5300000000000002E-3</v>
      </c>
      <c r="AF52" s="95">
        <v>2.9049000000000002E-3</v>
      </c>
      <c r="AG52" s="95">
        <v>2.8E-3</v>
      </c>
      <c r="AH52" s="95">
        <v>3.6847999999999998E-3</v>
      </c>
      <c r="AI52" s="95">
        <v>3.5300000000000002E-3</v>
      </c>
      <c r="AJ52" s="95">
        <v>1.6800000000000001E-3</v>
      </c>
      <c r="AK52" s="95">
        <v>2.3600000000000001E-3</v>
      </c>
      <c r="AL52" s="95">
        <v>3.0200000000000001E-3</v>
      </c>
      <c r="AM52" s="97">
        <v>3.1679999999999998E-3</v>
      </c>
      <c r="AN52" s="95">
        <v>9.3800000000000003E-4</v>
      </c>
      <c r="AO52" s="95">
        <v>1.6329999999999999E-3</v>
      </c>
      <c r="AP52" s="101">
        <v>6.6500000000000001E-4</v>
      </c>
      <c r="AQ52" s="101">
        <v>7.3899999999999997E-4</v>
      </c>
      <c r="AR52" s="101">
        <v>1.3749999999999999E-3</v>
      </c>
      <c r="AS52" s="101">
        <v>1.238E-3</v>
      </c>
      <c r="AT52" s="101">
        <v>7.0899999999999999E-4</v>
      </c>
      <c r="AU52" s="101">
        <v>1.072E-3</v>
      </c>
      <c r="AV52" s="95">
        <v>1.085E-3</v>
      </c>
      <c r="AW52" s="95">
        <v>2.624E-3</v>
      </c>
      <c r="AX52" s="95">
        <v>2.2217999999999999E-3</v>
      </c>
      <c r="AY52" s="95">
        <v>1.869E-3</v>
      </c>
      <c r="AZ52" s="101">
        <v>1.8619999999999999E-3</v>
      </c>
      <c r="BA52" s="101" t="s">
        <v>46</v>
      </c>
      <c r="BB52" s="95">
        <v>4.9800000000000001E-3</v>
      </c>
      <c r="BC52" s="95">
        <v>1.218E-2</v>
      </c>
      <c r="BD52" s="95">
        <v>3.4812617355755291E-3</v>
      </c>
      <c r="BE52" s="95">
        <v>3.4189058885557887E-3</v>
      </c>
      <c r="BF52" s="95">
        <v>3.3220855226088323E-3</v>
      </c>
      <c r="BG52" s="101">
        <v>3.2350505532552343E-3</v>
      </c>
      <c r="BH52" s="95">
        <v>1.949E-3</v>
      </c>
      <c r="BI52" s="101">
        <v>8.3400000000000002E-3</v>
      </c>
      <c r="BJ52" s="95">
        <v>7.0600000000000003E-4</v>
      </c>
      <c r="BK52" s="95">
        <v>1.0790000000000001E-3</v>
      </c>
      <c r="BL52" s="95">
        <v>6.8910000000000004E-3</v>
      </c>
      <c r="BM52" s="102">
        <v>4.1339999999999997E-3</v>
      </c>
      <c r="BN52" s="95">
        <v>5.1330000000000004E-3</v>
      </c>
      <c r="BO52" s="101">
        <v>1.6429999999999999E-3</v>
      </c>
      <c r="BP52" s="101">
        <v>2.5560000000000001E-3</v>
      </c>
      <c r="BQ52" s="101">
        <v>2.1250000000000002E-3</v>
      </c>
      <c r="BR52" s="101">
        <v>7.6300000000000001E-4</v>
      </c>
      <c r="BS52" s="101">
        <v>1.1529999999999999E-3</v>
      </c>
      <c r="BT52" s="95">
        <v>3.0000000000000001E-3</v>
      </c>
      <c r="BU52" s="95">
        <v>3.3E-3</v>
      </c>
      <c r="BV52" s="97">
        <v>5.5800000000000002E-2</v>
      </c>
      <c r="BW52" s="97">
        <v>8.5552019856370842E-2</v>
      </c>
      <c r="BX52" s="97">
        <v>8.5000000000000006E-2</v>
      </c>
      <c r="BY52" s="97">
        <v>6.8599999999999994E-2</v>
      </c>
      <c r="BZ52" s="96">
        <v>6.2199999999999998E-2</v>
      </c>
      <c r="CA52" s="97">
        <v>0.05</v>
      </c>
      <c r="CB52" s="97">
        <v>7.45E-3</v>
      </c>
      <c r="CC52" s="97">
        <v>2.2571000000000001E-2</v>
      </c>
      <c r="CD52" s="97">
        <v>2.5999999999999999E-2</v>
      </c>
      <c r="CE52" s="97">
        <v>4.0000000000000003E-5</v>
      </c>
      <c r="CF52" s="97">
        <v>1.4540000000000001E-2</v>
      </c>
      <c r="CG52" s="96">
        <v>6.2199999999999998E-2</v>
      </c>
      <c r="CH52" s="96">
        <v>6.2199999999999998E-2</v>
      </c>
      <c r="CI52" s="95">
        <v>8.4400000000000002E-4</v>
      </c>
      <c r="CJ52" s="95">
        <v>7.2000000000000005E-4</v>
      </c>
      <c r="CK52" s="101">
        <v>4.7299999999999998E-3</v>
      </c>
      <c r="CL52" s="96">
        <v>5.2400000000000002E-2</v>
      </c>
      <c r="CM52" s="101">
        <v>1.97E-3</v>
      </c>
      <c r="CN52" s="101">
        <v>7.1000000000000004E-3</v>
      </c>
      <c r="CO52" s="95">
        <v>4.6100000000000004E-3</v>
      </c>
      <c r="CP52" s="95">
        <v>2.5899999999999999E-3</v>
      </c>
      <c r="CQ52" s="101">
        <v>1.64E-3</v>
      </c>
      <c r="CR52" s="95">
        <v>1.5E-3</v>
      </c>
      <c r="CS52" s="95">
        <v>2E-3</v>
      </c>
      <c r="CT52" s="95">
        <v>2.2100000000000002E-3</v>
      </c>
      <c r="CU52" s="95">
        <v>1.47E-3</v>
      </c>
      <c r="CV52" s="95">
        <v>8.3000000000000001E-4</v>
      </c>
      <c r="CW52" s="95">
        <v>1.58E-3</v>
      </c>
      <c r="CX52" s="95">
        <v>3.14E-3</v>
      </c>
      <c r="CY52" s="104">
        <v>7.0839999999999996</v>
      </c>
      <c r="CZ52" s="104">
        <v>5.96</v>
      </c>
      <c r="DA52" s="104">
        <v>6.81</v>
      </c>
      <c r="DB52" s="104">
        <v>6.7</v>
      </c>
      <c r="DC52" s="104">
        <v>7.24</v>
      </c>
      <c r="DD52" s="104">
        <v>10.23</v>
      </c>
    </row>
    <row r="53" spans="1:108">
      <c r="A53" s="54">
        <v>41</v>
      </c>
      <c r="B53" s="95">
        <v>2.7100000000000002E-3</v>
      </c>
      <c r="C53" s="95">
        <v>1.001E-2</v>
      </c>
      <c r="D53" s="96">
        <v>6.5799999999999995E-4</v>
      </c>
      <c r="E53" s="96">
        <v>1.065E-3</v>
      </c>
      <c r="F53" s="95">
        <v>7.3200000000000001E-4</v>
      </c>
      <c r="G53" s="95">
        <v>1.168E-3</v>
      </c>
      <c r="H53" s="95">
        <v>1.464E-3</v>
      </c>
      <c r="I53" s="95">
        <v>2.2200000000000002E-3</v>
      </c>
      <c r="J53" s="95">
        <v>2.2200000000000002E-3</v>
      </c>
      <c r="K53" s="95">
        <v>2.0990000000000002E-3</v>
      </c>
      <c r="L53" s="95">
        <v>1.7899999999999999E-3</v>
      </c>
      <c r="M53" s="95">
        <v>8.9400000000000005E-4</v>
      </c>
      <c r="N53" s="95">
        <v>8.0099999999999995E-4</v>
      </c>
      <c r="O53" s="95">
        <v>1.6410000000000001E-3</v>
      </c>
      <c r="P53" s="95">
        <v>1.4920000000000001E-3</v>
      </c>
      <c r="Q53" s="97">
        <v>9.5E-4</v>
      </c>
      <c r="R53" s="97">
        <v>2.1099999999999999E-3</v>
      </c>
      <c r="S53" s="97">
        <v>7.1000000000000002E-4</v>
      </c>
      <c r="T53" s="97">
        <v>1.5299999999999999E-3</v>
      </c>
      <c r="U53" s="98">
        <v>1.041E-3</v>
      </c>
      <c r="V53" s="99">
        <v>1.6429999999999999E-3</v>
      </c>
      <c r="W53" s="98">
        <v>6.2540000000000002E-4</v>
      </c>
      <c r="X53" s="99">
        <v>1.1563000000000001E-3</v>
      </c>
      <c r="Y53" s="100">
        <v>1.0437383999999999E-3</v>
      </c>
      <c r="Z53" s="100">
        <v>1.6790017999999999E-3</v>
      </c>
      <c r="AA53" s="100">
        <v>6.923977E-4</v>
      </c>
      <c r="AB53" s="100">
        <v>1.1874035E-3</v>
      </c>
      <c r="AC53" s="95">
        <v>4.3699999999999998E-3</v>
      </c>
      <c r="AD53" s="95">
        <v>6.5900000000000004E-3</v>
      </c>
      <c r="AE53" s="95">
        <v>3.8400000000000001E-3</v>
      </c>
      <c r="AF53" s="95">
        <v>3.1297E-3</v>
      </c>
      <c r="AG53" s="95">
        <v>3.0100000000000001E-3</v>
      </c>
      <c r="AH53" s="95">
        <v>4.0048000000000002E-3</v>
      </c>
      <c r="AI53" s="95">
        <v>3.8400000000000001E-3</v>
      </c>
      <c r="AJ53" s="95">
        <v>1.8799999999999999E-3</v>
      </c>
      <c r="AK53" s="95">
        <v>2.65E-3</v>
      </c>
      <c r="AL53" s="95">
        <v>3.29E-3</v>
      </c>
      <c r="AM53" s="97">
        <v>3.5149999999999999E-3</v>
      </c>
      <c r="AN53" s="95">
        <v>1.013E-3</v>
      </c>
      <c r="AO53" s="95">
        <v>1.789E-3</v>
      </c>
      <c r="AP53" s="101">
        <v>7.1599999999999995E-4</v>
      </c>
      <c r="AQ53" s="101">
        <v>7.9600000000000005E-4</v>
      </c>
      <c r="AR53" s="101">
        <v>1.5219999999999999E-3</v>
      </c>
      <c r="AS53" s="101">
        <v>1.3699999999999999E-3</v>
      </c>
      <c r="AT53" s="101">
        <v>7.6800000000000002E-4</v>
      </c>
      <c r="AU53" s="101">
        <v>1.1559999999999999E-3</v>
      </c>
      <c r="AV53" s="95">
        <v>1.1389E-3</v>
      </c>
      <c r="AW53" s="95">
        <v>2.8709999999999999E-3</v>
      </c>
      <c r="AX53" s="95">
        <v>2.4516999999999998E-3</v>
      </c>
      <c r="AY53" s="95">
        <v>1.9980000000000002E-3</v>
      </c>
      <c r="AZ53" s="101">
        <v>1.99E-3</v>
      </c>
      <c r="BA53" s="101" t="s">
        <v>47</v>
      </c>
      <c r="BB53" s="95">
        <v>5.3099999999999996E-3</v>
      </c>
      <c r="BC53" s="95">
        <v>1.257E-2</v>
      </c>
      <c r="BD53" s="95">
        <v>3.7295350006178807E-3</v>
      </c>
      <c r="BE53" s="95">
        <v>3.6310570719449526E-3</v>
      </c>
      <c r="BF53" s="95">
        <v>3.5416714920264163E-3</v>
      </c>
      <c r="BG53" s="101">
        <v>3.4532073647918376E-3</v>
      </c>
      <c r="BH53" s="95">
        <v>2.1229999999999999E-3</v>
      </c>
      <c r="BI53" s="101">
        <v>8.6199999999999992E-3</v>
      </c>
      <c r="BJ53" s="95">
        <v>7.7399999999999995E-4</v>
      </c>
      <c r="BK53" s="95">
        <v>1.142E-3</v>
      </c>
      <c r="BL53" s="95">
        <v>7.3740000000000003E-3</v>
      </c>
      <c r="BM53" s="95">
        <v>4.5659999999999997E-3</v>
      </c>
      <c r="BN53" s="95">
        <v>5.5490000000000001E-3</v>
      </c>
      <c r="BO53" s="101">
        <v>1.792E-3</v>
      </c>
      <c r="BP53" s="101">
        <v>2.8180000000000002E-3</v>
      </c>
      <c r="BQ53" s="101">
        <v>2.3270000000000001E-3</v>
      </c>
      <c r="BR53" s="101">
        <v>8.2600000000000002E-4</v>
      </c>
      <c r="BS53" s="101">
        <v>1.243E-3</v>
      </c>
      <c r="BT53" s="95">
        <v>3.3E-3</v>
      </c>
      <c r="BU53" s="95">
        <v>3.5999999999999999E-3</v>
      </c>
      <c r="BV53" s="97">
        <v>5.5100000000000003E-2</v>
      </c>
      <c r="BW53" s="97">
        <v>8.3443125786952677E-2</v>
      </c>
      <c r="BX53" s="97">
        <v>8.5000000000000006E-2</v>
      </c>
      <c r="BY53" s="97">
        <v>6.7699999999999996E-2</v>
      </c>
      <c r="BZ53" s="96">
        <v>5.9900000000000002E-2</v>
      </c>
      <c r="CA53" s="97">
        <v>4.9000000000000002E-2</v>
      </c>
      <c r="CB53" s="97">
        <v>7.45E-3</v>
      </c>
      <c r="CC53" s="97">
        <v>2.2571000000000001E-2</v>
      </c>
      <c r="CD53" s="97">
        <v>2.5999999999999999E-2</v>
      </c>
      <c r="CE53" s="97">
        <v>4.0000000000000003E-5</v>
      </c>
      <c r="CF53" s="97">
        <v>1.511E-2</v>
      </c>
      <c r="CG53" s="96">
        <v>5.9900000000000002E-2</v>
      </c>
      <c r="CH53" s="96">
        <v>5.9900000000000002E-2</v>
      </c>
      <c r="CI53" s="95">
        <v>8.9300000000000002E-4</v>
      </c>
      <c r="CJ53" s="95">
        <v>7.6000000000000004E-4</v>
      </c>
      <c r="CK53" s="101">
        <v>4.8900000000000002E-3</v>
      </c>
      <c r="CL53" s="96">
        <v>5.2299999999999999E-2</v>
      </c>
      <c r="CM53" s="101">
        <v>2.0600000000000002E-3</v>
      </c>
      <c r="CN53" s="101">
        <v>7.6E-3</v>
      </c>
      <c r="CO53" s="95">
        <v>5.0600000000000003E-3</v>
      </c>
      <c r="CP53" s="95">
        <v>2.8600000000000001E-3</v>
      </c>
      <c r="CQ53" s="101">
        <v>1.73E-3</v>
      </c>
      <c r="CR53" s="95">
        <v>2E-3</v>
      </c>
      <c r="CS53" s="95">
        <v>2.2799999999999999E-3</v>
      </c>
      <c r="CT53" s="95">
        <v>2.3E-3</v>
      </c>
      <c r="CU53" s="95">
        <v>1.5299999999999999E-3</v>
      </c>
      <c r="CV53" s="95">
        <v>8.7000000000000001E-4</v>
      </c>
      <c r="CW53" s="95">
        <v>1.74E-3</v>
      </c>
      <c r="CX53" s="95">
        <v>3.2000000000000002E-3</v>
      </c>
      <c r="CY53" s="104">
        <v>7.3010000000000002</v>
      </c>
      <c r="CZ53" s="104">
        <v>6.16</v>
      </c>
      <c r="DA53" s="104">
        <v>6.95</v>
      </c>
      <c r="DB53" s="104">
        <v>6.9</v>
      </c>
      <c r="DC53" s="104">
        <v>7.36</v>
      </c>
      <c r="DD53" s="104">
        <v>10.5</v>
      </c>
    </row>
    <row r="54" spans="1:108">
      <c r="A54" s="54">
        <v>42</v>
      </c>
      <c r="B54" s="95">
        <v>2.9299999999999999E-3</v>
      </c>
      <c r="C54" s="95">
        <v>1.025E-2</v>
      </c>
      <c r="D54" s="96">
        <v>7.1500000000000003E-4</v>
      </c>
      <c r="E54" s="96">
        <v>1.201E-3</v>
      </c>
      <c r="F54" s="95">
        <v>7.9600000000000005E-4</v>
      </c>
      <c r="G54" s="95">
        <v>1.322E-3</v>
      </c>
      <c r="H54" s="95">
        <v>1.583E-3</v>
      </c>
      <c r="I54" s="95">
        <v>2.4810000000000001E-3</v>
      </c>
      <c r="J54" s="95">
        <v>2.4809999999999997E-3</v>
      </c>
      <c r="K54" s="95">
        <v>2.2899999999999999E-3</v>
      </c>
      <c r="L54" s="95">
        <v>2E-3</v>
      </c>
      <c r="M54" s="95">
        <v>9.6699999999999998E-4</v>
      </c>
      <c r="N54" s="95">
        <v>8.6700000000000004E-4</v>
      </c>
      <c r="O54" s="95">
        <v>1.8420000000000001E-3</v>
      </c>
      <c r="P54" s="95">
        <v>1.673E-3</v>
      </c>
      <c r="Q54" s="97">
        <v>1.0300000000000001E-3</v>
      </c>
      <c r="R54" s="97">
        <v>2.2499999999999998E-3</v>
      </c>
      <c r="S54" s="97">
        <v>7.6999999999999996E-4</v>
      </c>
      <c r="T54" s="97">
        <v>1.64E-3</v>
      </c>
      <c r="U54" s="98">
        <v>1.1431E-3</v>
      </c>
      <c r="V54" s="99">
        <v>1.7815000000000001E-3</v>
      </c>
      <c r="W54" s="98">
        <v>6.7929999999999998E-4</v>
      </c>
      <c r="X54" s="99">
        <v>1.2443000000000001E-3</v>
      </c>
      <c r="Y54" s="100">
        <v>1.1356210000000001E-3</v>
      </c>
      <c r="Z54" s="100">
        <v>1.8117265E-3</v>
      </c>
      <c r="AA54" s="100">
        <v>7.5253400000000002E-4</v>
      </c>
      <c r="AB54" s="100">
        <v>1.2847691000000001E-3</v>
      </c>
      <c r="AC54" s="95">
        <v>4.7499999999999999E-3</v>
      </c>
      <c r="AD54" s="95">
        <v>7.0299999999999998E-3</v>
      </c>
      <c r="AE54" s="95">
        <v>4.1700000000000001E-3</v>
      </c>
      <c r="AF54" s="95">
        <v>3.3898000000000001E-3</v>
      </c>
      <c r="AG54" s="95">
        <v>3.2499999999999999E-3</v>
      </c>
      <c r="AH54" s="95">
        <v>4.3496000000000003E-3</v>
      </c>
      <c r="AI54" s="95">
        <v>4.1700000000000001E-3</v>
      </c>
      <c r="AJ54" s="95">
        <v>2.0999999999999999E-3</v>
      </c>
      <c r="AK54" s="95">
        <v>2.9499999999999999E-3</v>
      </c>
      <c r="AL54" s="95">
        <v>3.5600000000000002E-3</v>
      </c>
      <c r="AM54" s="97">
        <v>3.9100000000000003E-3</v>
      </c>
      <c r="AN54" s="95">
        <v>1.0939999999999999E-3</v>
      </c>
      <c r="AO54" s="95">
        <v>2E-3</v>
      </c>
      <c r="AP54" s="101">
        <v>7.7499999999999997E-4</v>
      </c>
      <c r="AQ54" s="101">
        <v>8.61E-4</v>
      </c>
      <c r="AR54" s="101">
        <v>1.6969999999999999E-3</v>
      </c>
      <c r="AS54" s="101">
        <v>1.5269999999999999E-3</v>
      </c>
      <c r="AT54" s="101">
        <v>8.25E-4</v>
      </c>
      <c r="AU54" s="101">
        <v>1.2520000000000001E-3</v>
      </c>
      <c r="AV54" s="95">
        <v>1.1911000000000001E-3</v>
      </c>
      <c r="AW54" s="95">
        <v>3.15E-3</v>
      </c>
      <c r="AX54" s="95">
        <v>2.7120999999999998E-3</v>
      </c>
      <c r="AY54" s="95">
        <v>2.1450000000000002E-3</v>
      </c>
      <c r="AZ54" s="101">
        <v>2.1350000000000002E-3</v>
      </c>
      <c r="BA54" s="101" t="s">
        <v>48</v>
      </c>
      <c r="BB54" s="95">
        <v>5.6600000000000001E-3</v>
      </c>
      <c r="BC54" s="95">
        <v>1.2999999999999999E-2</v>
      </c>
      <c r="BD54" s="95">
        <v>3.9862997717418479E-3</v>
      </c>
      <c r="BE54" s="95">
        <v>3.8912914909865442E-3</v>
      </c>
      <c r="BF54" s="95">
        <v>3.7848894799681512E-3</v>
      </c>
      <c r="BG54" s="101">
        <v>3.6931529285162781E-3</v>
      </c>
      <c r="BH54" s="95">
        <v>2.3509999999999998E-3</v>
      </c>
      <c r="BI54" s="101">
        <v>8.9300000000000004E-3</v>
      </c>
      <c r="BJ54" s="95">
        <v>8.52E-4</v>
      </c>
      <c r="BK54" s="95">
        <v>1.2149999999999999E-3</v>
      </c>
      <c r="BL54" s="95">
        <v>7.9070000000000008E-3</v>
      </c>
      <c r="BM54" s="95">
        <v>5.0499999999999998E-3</v>
      </c>
      <c r="BN54" s="95">
        <v>6.0070000000000002E-3</v>
      </c>
      <c r="BO54" s="101">
        <v>1.9480000000000001E-3</v>
      </c>
      <c r="BP54" s="101">
        <v>3.0950000000000001E-3</v>
      </c>
      <c r="BQ54" s="101">
        <v>2.5560000000000001E-3</v>
      </c>
      <c r="BR54" s="101">
        <v>8.8800000000000001E-4</v>
      </c>
      <c r="BS54" s="101">
        <v>1.346E-3</v>
      </c>
      <c r="BT54" s="95">
        <v>3.62E-3</v>
      </c>
      <c r="BU54" s="95">
        <v>3.9300000000000003E-3</v>
      </c>
      <c r="BV54" s="97">
        <v>5.5399999999999998E-2</v>
      </c>
      <c r="BW54" s="97">
        <v>8.144408570203765E-2</v>
      </c>
      <c r="BX54" s="97">
        <v>8.5000000000000006E-2</v>
      </c>
      <c r="BY54" s="97">
        <v>6.6799999999999998E-2</v>
      </c>
      <c r="BZ54" s="96">
        <v>5.8299999999999998E-2</v>
      </c>
      <c r="CA54" s="97">
        <v>4.8000000000000001E-2</v>
      </c>
      <c r="CB54" s="97">
        <v>7.45E-3</v>
      </c>
      <c r="CC54" s="97">
        <v>2.2571000000000001E-2</v>
      </c>
      <c r="CD54" s="97">
        <v>2.5999999999999999E-2</v>
      </c>
      <c r="CE54" s="97">
        <v>4.0000000000000003E-5</v>
      </c>
      <c r="CF54" s="97">
        <v>1.5699999999999999E-2</v>
      </c>
      <c r="CG54" s="96">
        <v>5.8299999999999998E-2</v>
      </c>
      <c r="CH54" s="96">
        <v>5.8299999999999998E-2</v>
      </c>
      <c r="CI54" s="95">
        <v>9.4899999999999997E-4</v>
      </c>
      <c r="CJ54" s="95">
        <v>8.0000000000000004E-4</v>
      </c>
      <c r="CK54" s="101">
        <v>5.0800000000000003E-3</v>
      </c>
      <c r="CL54" s="96">
        <v>5.2200000000000003E-2</v>
      </c>
      <c r="CM54" s="101">
        <v>2.14E-3</v>
      </c>
      <c r="CN54" s="101">
        <v>8.2000000000000007E-3</v>
      </c>
      <c r="CO54" s="95">
        <v>5.5199999999999997E-3</v>
      </c>
      <c r="CP54" s="95">
        <v>3.15E-3</v>
      </c>
      <c r="CQ54" s="101">
        <v>1.8400000000000001E-3</v>
      </c>
      <c r="CR54" s="95">
        <v>2.5000000000000001E-3</v>
      </c>
      <c r="CS54" s="95">
        <v>2.5799999999999998E-3</v>
      </c>
      <c r="CT54" s="95">
        <v>2.3900000000000002E-3</v>
      </c>
      <c r="CU54" s="95">
        <v>1.5900000000000001E-3</v>
      </c>
      <c r="CV54" s="95">
        <v>9.2000000000000003E-4</v>
      </c>
      <c r="CW54" s="95">
        <v>1.9300000000000001E-3</v>
      </c>
      <c r="CX54" s="95">
        <v>3.5200000000000001E-3</v>
      </c>
      <c r="CY54" s="104">
        <v>7.5110000000000001</v>
      </c>
      <c r="CZ54" s="104">
        <v>6.31</v>
      </c>
      <c r="DA54" s="104">
        <v>7.1</v>
      </c>
      <c r="DB54" s="104">
        <v>7.12</v>
      </c>
      <c r="DC54" s="104">
        <v>7.49</v>
      </c>
      <c r="DD54" s="104">
        <v>10.77</v>
      </c>
    </row>
    <row r="55" spans="1:108">
      <c r="A55" s="54">
        <v>43</v>
      </c>
      <c r="B55" s="95">
        <v>3.1800000000000001E-3</v>
      </c>
      <c r="C55" s="95">
        <v>1.052E-2</v>
      </c>
      <c r="D55" s="96">
        <v>7.8100000000000001E-4</v>
      </c>
      <c r="E55" s="96">
        <v>1.3619999999999999E-3</v>
      </c>
      <c r="F55" s="95">
        <v>8.6799999999999996E-4</v>
      </c>
      <c r="G55" s="95">
        <v>1.505E-3</v>
      </c>
      <c r="H55" s="95">
        <v>1.7149999999999999E-3</v>
      </c>
      <c r="I55" s="95">
        <v>2.8040000000000001E-3</v>
      </c>
      <c r="J55" s="95">
        <v>2.8039999999999996E-3</v>
      </c>
      <c r="K55" s="95">
        <v>2.4989999999999999E-3</v>
      </c>
      <c r="L55" s="95">
        <v>2.2599999999999999E-3</v>
      </c>
      <c r="M55" s="95">
        <v>1.0480000000000001E-3</v>
      </c>
      <c r="N55" s="95">
        <v>9.4200000000000002E-4</v>
      </c>
      <c r="O55" s="95">
        <v>2.0790000000000001E-3</v>
      </c>
      <c r="P55" s="95">
        <v>1.8860000000000001E-3</v>
      </c>
      <c r="Q55" s="97">
        <v>1.1100000000000001E-3</v>
      </c>
      <c r="R55" s="97">
        <v>2.3999999999999998E-3</v>
      </c>
      <c r="S55" s="97">
        <v>8.3000000000000001E-4</v>
      </c>
      <c r="T55" s="97">
        <v>1.75E-3</v>
      </c>
      <c r="U55" s="98">
        <v>1.2474000000000001E-3</v>
      </c>
      <c r="V55" s="99">
        <v>1.8979999999999999E-3</v>
      </c>
      <c r="W55" s="98">
        <v>7.4600000000000003E-4</v>
      </c>
      <c r="X55" s="99">
        <v>1.3504999999999999E-3</v>
      </c>
      <c r="Y55" s="100">
        <v>1.2368705999999999E-3</v>
      </c>
      <c r="Z55" s="100">
        <v>1.9604799000000001E-3</v>
      </c>
      <c r="AA55" s="100">
        <v>8.1944889999999995E-4</v>
      </c>
      <c r="AB55" s="100">
        <v>1.3940274000000001E-3</v>
      </c>
      <c r="AC55" s="95">
        <v>5.1799999999999997E-3</v>
      </c>
      <c r="AD55" s="95">
        <v>7.5100000000000002E-3</v>
      </c>
      <c r="AE55" s="95">
        <v>4.5300000000000002E-3</v>
      </c>
      <c r="AF55" s="95">
        <v>3.6847999999999998E-3</v>
      </c>
      <c r="AG55" s="95">
        <v>3.5300000000000002E-3</v>
      </c>
      <c r="AH55" s="95">
        <v>4.7245000000000004E-3</v>
      </c>
      <c r="AI55" s="95">
        <v>4.5300000000000002E-3</v>
      </c>
      <c r="AJ55" s="95">
        <v>2.3600000000000001E-3</v>
      </c>
      <c r="AK55" s="95">
        <v>3.2799999999999999E-3</v>
      </c>
      <c r="AL55" s="95">
        <v>3.8700000000000002E-3</v>
      </c>
      <c r="AM55" s="97">
        <v>4.333E-3</v>
      </c>
      <c r="AN55" s="95">
        <v>1.186E-3</v>
      </c>
      <c r="AO55" s="95">
        <v>2.2599999999999999E-3</v>
      </c>
      <c r="AP55" s="101">
        <v>8.4199999999999998E-4</v>
      </c>
      <c r="AQ55" s="101">
        <v>9.3499999999999996E-4</v>
      </c>
      <c r="AR55" s="101">
        <v>1.905E-3</v>
      </c>
      <c r="AS55" s="101">
        <v>1.7149999999999999E-3</v>
      </c>
      <c r="AT55" s="101">
        <v>8.7699999999999996E-4</v>
      </c>
      <c r="AU55" s="101">
        <v>1.3519999999999999E-3</v>
      </c>
      <c r="AV55" s="95">
        <v>1.2416E-3</v>
      </c>
      <c r="AW55" s="95">
        <v>3.4640000000000001E-3</v>
      </c>
      <c r="AX55" s="95">
        <v>3.0044999999999998E-3</v>
      </c>
      <c r="AY55" s="95">
        <v>2.31E-3</v>
      </c>
      <c r="AZ55" s="101">
        <v>2.2989999999999998E-3</v>
      </c>
      <c r="BA55" s="101" t="s">
        <v>49</v>
      </c>
      <c r="BB55" s="95">
        <v>6.0400000000000002E-3</v>
      </c>
      <c r="BC55" s="95">
        <v>1.3480000000000001E-2</v>
      </c>
      <c r="BD55" s="95">
        <v>4.267592261548981E-3</v>
      </c>
      <c r="BE55" s="95">
        <v>4.1538328240104689E-3</v>
      </c>
      <c r="BF55" s="95">
        <v>4.0541132975949095E-3</v>
      </c>
      <c r="BG55" s="101">
        <v>3.9565768598066996E-3</v>
      </c>
      <c r="BH55" s="95">
        <v>2.643E-3</v>
      </c>
      <c r="BI55" s="101">
        <v>9.2599999999999991E-3</v>
      </c>
      <c r="BJ55" s="95">
        <v>9.3700000000000001E-4</v>
      </c>
      <c r="BK55" s="95">
        <v>1.299E-3</v>
      </c>
      <c r="BL55" s="95">
        <v>8.4960000000000001E-3</v>
      </c>
      <c r="BM55" s="95">
        <v>5.5649999999999996E-3</v>
      </c>
      <c r="BN55" s="95">
        <v>6.5120000000000004E-3</v>
      </c>
      <c r="BO55" s="101">
        <v>2.1250000000000002E-3</v>
      </c>
      <c r="BP55" s="101">
        <v>3.4099999999999998E-3</v>
      </c>
      <c r="BQ55" s="101">
        <v>2.8180000000000002E-3</v>
      </c>
      <c r="BR55" s="101">
        <v>9.4300000000000004E-4</v>
      </c>
      <c r="BS55" s="101">
        <v>1.454E-3</v>
      </c>
      <c r="BT55" s="95">
        <v>3.9699999999999996E-3</v>
      </c>
      <c r="BU55" s="95">
        <v>4.28E-3</v>
      </c>
      <c r="BV55" s="97">
        <v>5.3600000000000002E-2</v>
      </c>
      <c r="BW55" s="97">
        <v>7.9555713610648393E-2</v>
      </c>
      <c r="BX55" s="97">
        <v>8.5999999999999993E-2</v>
      </c>
      <c r="BY55" s="97">
        <v>6.6000000000000003E-2</v>
      </c>
      <c r="BZ55" s="96">
        <v>5.5800000000000002E-2</v>
      </c>
      <c r="CA55" s="97">
        <v>4.7E-2</v>
      </c>
      <c r="CB55" s="97">
        <v>7.45E-3</v>
      </c>
      <c r="CC55" s="97">
        <v>2.2571000000000001E-2</v>
      </c>
      <c r="CD55" s="97">
        <v>2.7E-2</v>
      </c>
      <c r="CE55" s="97">
        <v>5.0000000000000002E-5</v>
      </c>
      <c r="CF55" s="97">
        <v>1.6330000000000001E-2</v>
      </c>
      <c r="CG55" s="96">
        <v>5.5800000000000002E-2</v>
      </c>
      <c r="CH55" s="96">
        <v>5.5800000000000002E-2</v>
      </c>
      <c r="CI55" s="95">
        <v>1.0139999999999999E-3</v>
      </c>
      <c r="CJ55" s="95">
        <v>8.4000000000000003E-4</v>
      </c>
      <c r="CK55" s="101">
        <v>5.28E-3</v>
      </c>
      <c r="CL55" s="96">
        <v>5.21E-2</v>
      </c>
      <c r="CM55" s="101">
        <v>2.2300000000000002E-3</v>
      </c>
      <c r="CN55" s="101">
        <v>8.8999999999999999E-3</v>
      </c>
      <c r="CO55" s="95">
        <v>6.0299999999999998E-3</v>
      </c>
      <c r="CP55" s="95">
        <v>3.46E-3</v>
      </c>
      <c r="CQ55" s="101">
        <v>1.9499999999999999E-3</v>
      </c>
      <c r="CR55" s="95">
        <v>3.0000000000000001E-3</v>
      </c>
      <c r="CS55" s="95">
        <v>2.9099999999999998E-3</v>
      </c>
      <c r="CT55" s="95">
        <v>2.5400000000000002E-3</v>
      </c>
      <c r="CU55" s="95">
        <v>1.6900000000000001E-3</v>
      </c>
      <c r="CV55" s="95">
        <v>9.7999999999999997E-4</v>
      </c>
      <c r="CW55" s="95">
        <v>2.1299999999999999E-3</v>
      </c>
      <c r="CX55" s="95">
        <v>3.7100000000000002E-3</v>
      </c>
      <c r="CY55" s="104">
        <v>7.7279999999999998</v>
      </c>
      <c r="CZ55" s="104">
        <v>6.5</v>
      </c>
      <c r="DA55" s="104">
        <v>7.29</v>
      </c>
      <c r="DB55" s="104">
        <v>7.36</v>
      </c>
      <c r="DC55" s="104">
        <v>7.63</v>
      </c>
      <c r="DD55" s="104">
        <v>11.06</v>
      </c>
    </row>
    <row r="56" spans="1:108">
      <c r="A56" s="54">
        <v>44</v>
      </c>
      <c r="B56" s="95">
        <v>3.46E-3</v>
      </c>
      <c r="C56" s="95">
        <v>1.0829999999999999E-2</v>
      </c>
      <c r="D56" s="96">
        <v>8.5499999999999997E-4</v>
      </c>
      <c r="E56" s="96">
        <v>1.547E-3</v>
      </c>
      <c r="F56" s="95">
        <v>9.5E-4</v>
      </c>
      <c r="G56" s="95">
        <v>1.7149999999999999E-3</v>
      </c>
      <c r="H56" s="95">
        <v>1.859E-3</v>
      </c>
      <c r="I56" s="95">
        <v>3.1870000000000002E-3</v>
      </c>
      <c r="J56" s="95">
        <v>3.1869999999999997E-3</v>
      </c>
      <c r="K56" s="95">
        <v>2.7269999999999998E-3</v>
      </c>
      <c r="L56" s="95">
        <v>2.5699999999999998E-3</v>
      </c>
      <c r="M56" s="95">
        <v>1.139E-3</v>
      </c>
      <c r="N56" s="95">
        <v>1.026E-3</v>
      </c>
      <c r="O56" s="95">
        <v>2.3519999999999999E-3</v>
      </c>
      <c r="P56" s="95">
        <v>2.1289999999999998E-3</v>
      </c>
      <c r="Q56" s="97">
        <v>1.1999999999999999E-3</v>
      </c>
      <c r="R56" s="97">
        <v>2.5600000000000002E-3</v>
      </c>
      <c r="S56" s="97">
        <v>8.8999999999999995E-4</v>
      </c>
      <c r="T56" s="97">
        <v>1.8699999999999999E-3</v>
      </c>
      <c r="U56" s="98">
        <v>1.3457E-3</v>
      </c>
      <c r="V56" s="99">
        <v>2.0322000000000001E-3</v>
      </c>
      <c r="W56" s="98">
        <v>8.1590000000000005E-4</v>
      </c>
      <c r="X56" s="99">
        <v>1.4798000000000001E-3</v>
      </c>
      <c r="Y56" s="100">
        <v>1.3483462999999999E-3</v>
      </c>
      <c r="Z56" s="100">
        <v>2.1263295999999999E-3</v>
      </c>
      <c r="AA56" s="100">
        <v>8.9360730000000003E-4</v>
      </c>
      <c r="AB56" s="100">
        <v>1.5160257000000001E-3</v>
      </c>
      <c r="AC56" s="95">
        <v>5.64E-3</v>
      </c>
      <c r="AD56" s="95">
        <v>8.0400000000000003E-3</v>
      </c>
      <c r="AE56" s="95">
        <v>4.9199999999999999E-3</v>
      </c>
      <c r="AF56" s="95">
        <v>4.0048000000000002E-3</v>
      </c>
      <c r="AG56" s="95">
        <v>3.8400000000000001E-3</v>
      </c>
      <c r="AH56" s="95">
        <v>5.1345000000000002E-3</v>
      </c>
      <c r="AI56" s="95">
        <v>4.9199999999999999E-3</v>
      </c>
      <c r="AJ56" s="95">
        <v>2.65E-3</v>
      </c>
      <c r="AK56" s="95">
        <v>3.64E-3</v>
      </c>
      <c r="AL56" s="95">
        <v>4.1900000000000001E-3</v>
      </c>
      <c r="AM56" s="97">
        <v>4.7949999999999998E-3</v>
      </c>
      <c r="AN56" s="95">
        <v>1.286E-3</v>
      </c>
      <c r="AO56" s="95">
        <v>2.5690000000000001E-3</v>
      </c>
      <c r="AP56" s="101">
        <v>9.19E-4</v>
      </c>
      <c r="AQ56" s="101">
        <v>1.021E-3</v>
      </c>
      <c r="AR56" s="101">
        <v>2.147E-3</v>
      </c>
      <c r="AS56" s="101">
        <v>1.9319999999999999E-3</v>
      </c>
      <c r="AT56" s="101">
        <v>9.2299999999999999E-4</v>
      </c>
      <c r="AU56" s="101">
        <v>1.4580000000000001E-3</v>
      </c>
      <c r="AV56" s="95">
        <v>1.2937000000000001E-3</v>
      </c>
      <c r="AW56" s="95">
        <v>3.813E-3</v>
      </c>
      <c r="AX56" s="95">
        <v>3.3305000000000001E-3</v>
      </c>
      <c r="AY56" s="95">
        <v>2.4970000000000001E-3</v>
      </c>
      <c r="AZ56" s="101">
        <v>2.4849999999999998E-3</v>
      </c>
      <c r="BA56" s="101" t="s">
        <v>23</v>
      </c>
      <c r="BB56" s="95">
        <v>6.4400000000000004E-3</v>
      </c>
      <c r="BC56" s="95">
        <v>1.3990000000000001E-2</v>
      </c>
      <c r="BD56" s="95">
        <v>4.5725487951131924E-3</v>
      </c>
      <c r="BE56" s="95">
        <v>4.4627216164635827E-3</v>
      </c>
      <c r="BF56" s="95">
        <v>4.3481807436302642E-3</v>
      </c>
      <c r="BG56" s="101">
        <v>4.2429982144873216E-3</v>
      </c>
      <c r="BH56" s="95">
        <v>2.996E-3</v>
      </c>
      <c r="BI56" s="101">
        <v>9.6299999999999997E-3</v>
      </c>
      <c r="BJ56" s="95">
        <v>1.029E-3</v>
      </c>
      <c r="BK56" s="95">
        <v>1.397E-3</v>
      </c>
      <c r="BL56" s="95">
        <v>9.1450000000000004E-3</v>
      </c>
      <c r="BM56" s="95">
        <v>6.1240000000000001E-3</v>
      </c>
      <c r="BN56" s="95">
        <v>7.0679999999999996E-3</v>
      </c>
      <c r="BO56" s="101">
        <v>2.3270000000000001E-3</v>
      </c>
      <c r="BP56" s="101">
        <v>3.7690000000000002E-3</v>
      </c>
      <c r="BQ56" s="101">
        <v>3.0950000000000001E-3</v>
      </c>
      <c r="BR56" s="101">
        <v>9.9200000000000004E-4</v>
      </c>
      <c r="BS56" s="101">
        <v>1.5679999999999999E-3</v>
      </c>
      <c r="BT56" s="95">
        <v>4.3499999999999997E-3</v>
      </c>
      <c r="BU56" s="95">
        <v>4.6499999999999996E-3</v>
      </c>
      <c r="BV56" s="97">
        <v>5.2400000000000002E-2</v>
      </c>
      <c r="BW56" s="97">
        <v>7.7779017441578446E-2</v>
      </c>
      <c r="BX56" s="97">
        <v>8.5999999999999993E-2</v>
      </c>
      <c r="BY56" s="97">
        <v>6.5299999999999997E-2</v>
      </c>
      <c r="BZ56" s="96">
        <v>5.4600000000000003E-2</v>
      </c>
      <c r="CA56" s="97">
        <v>4.5999999999999999E-2</v>
      </c>
      <c r="CB56" s="97">
        <v>7.45E-3</v>
      </c>
      <c r="CC56" s="97">
        <v>2.2571000000000001E-2</v>
      </c>
      <c r="CD56" s="97">
        <v>2.7E-2</v>
      </c>
      <c r="CE56" s="97">
        <v>5.0000000000000002E-5</v>
      </c>
      <c r="CF56" s="97">
        <v>1.6990000000000002E-2</v>
      </c>
      <c r="CG56" s="96">
        <v>5.4600000000000003E-2</v>
      </c>
      <c r="CH56" s="96">
        <v>5.4600000000000003E-2</v>
      </c>
      <c r="CI56" s="95">
        <v>1.088E-3</v>
      </c>
      <c r="CJ56" s="95">
        <v>8.8999999999999995E-4</v>
      </c>
      <c r="CK56" s="101">
        <v>5.5199999999999997E-3</v>
      </c>
      <c r="CL56" s="96">
        <v>5.1999999999999998E-2</v>
      </c>
      <c r="CM56" s="101">
        <v>2.3400000000000001E-3</v>
      </c>
      <c r="CN56" s="101">
        <v>9.5999999999999992E-3</v>
      </c>
      <c r="CO56" s="95">
        <v>6.5700000000000003E-3</v>
      </c>
      <c r="CP56" s="95">
        <v>3.81E-3</v>
      </c>
      <c r="CQ56" s="101">
        <v>2.0699999999999998E-3</v>
      </c>
      <c r="CR56" s="95">
        <v>3.5000000000000001E-3</v>
      </c>
      <c r="CS56" s="95">
        <v>3.2699999999999999E-3</v>
      </c>
      <c r="CT56" s="95">
        <v>2.7499999999999998E-3</v>
      </c>
      <c r="CU56" s="95">
        <v>1.83E-3</v>
      </c>
      <c r="CV56" s="95">
        <v>1.0399999999999999E-3</v>
      </c>
      <c r="CW56" s="95">
        <v>2.3400000000000001E-3</v>
      </c>
      <c r="CX56" s="95">
        <v>4.1700000000000001E-3</v>
      </c>
      <c r="CY56" s="104">
        <v>7.9379999999999997</v>
      </c>
      <c r="CZ56" s="104">
        <v>6.7839999999999998</v>
      </c>
      <c r="DA56" s="104">
        <v>7.45</v>
      </c>
      <c r="DB56" s="104">
        <v>7.61</v>
      </c>
      <c r="DC56" s="104">
        <v>7.78</v>
      </c>
      <c r="DD56" s="104">
        <v>11.35</v>
      </c>
    </row>
    <row r="57" spans="1:108">
      <c r="A57" s="54">
        <v>45</v>
      </c>
      <c r="B57" s="95">
        <v>3.7599999999999999E-3</v>
      </c>
      <c r="C57" s="95">
        <v>1.116E-2</v>
      </c>
      <c r="D57" s="96">
        <v>9.3899999999999995E-4</v>
      </c>
      <c r="E57" s="96">
        <v>1.7520000000000001E-3</v>
      </c>
      <c r="F57" s="95">
        <v>1.0430000000000001E-3</v>
      </c>
      <c r="G57" s="95">
        <v>1.9480000000000001E-3</v>
      </c>
      <c r="H57" s="95">
        <v>2.019E-3</v>
      </c>
      <c r="I57" s="95">
        <v>3.6250000000000002E-3</v>
      </c>
      <c r="J57" s="95">
        <v>3.6250000000000002E-3</v>
      </c>
      <c r="K57" s="95">
        <v>2.9750000000000002E-3</v>
      </c>
      <c r="L57" s="95">
        <v>2.9199999999999999E-3</v>
      </c>
      <c r="M57" s="95">
        <v>1.242E-3</v>
      </c>
      <c r="N57" s="95">
        <v>1.122E-3</v>
      </c>
      <c r="O57" s="95">
        <v>2.6570000000000001E-3</v>
      </c>
      <c r="P57" s="95">
        <v>2.3990000000000001E-3</v>
      </c>
      <c r="Q57" s="97">
        <v>1.2999999999999999E-3</v>
      </c>
      <c r="R57" s="97">
        <v>2.7499999999999998E-3</v>
      </c>
      <c r="S57" s="97">
        <v>9.6000000000000002E-4</v>
      </c>
      <c r="T57" s="97">
        <v>2E-3</v>
      </c>
      <c r="U57" s="98">
        <v>1.4549999999999999E-3</v>
      </c>
      <c r="V57" s="99">
        <v>2.1748000000000002E-3</v>
      </c>
      <c r="W57" s="98">
        <v>8.8679999999999998E-4</v>
      </c>
      <c r="X57" s="99">
        <v>1.6034000000000001E-3</v>
      </c>
      <c r="Y57" s="100">
        <v>1.4708875999999999E-3</v>
      </c>
      <c r="Z57" s="100">
        <v>2.3107433000000002E-3</v>
      </c>
      <c r="AA57" s="100">
        <v>9.7592139999999996E-4</v>
      </c>
      <c r="AB57" s="100">
        <v>1.6514189000000001E-3</v>
      </c>
      <c r="AC57" s="95">
        <v>6.1500000000000001E-3</v>
      </c>
      <c r="AD57" s="95">
        <v>8.6099999999999996E-3</v>
      </c>
      <c r="AE57" s="95">
        <v>5.3499999999999997E-3</v>
      </c>
      <c r="AF57" s="95">
        <v>4.3496000000000003E-3</v>
      </c>
      <c r="AG57" s="95">
        <v>4.1700000000000001E-3</v>
      </c>
      <c r="AH57" s="95">
        <v>5.5893999999999996E-3</v>
      </c>
      <c r="AI57" s="95">
        <v>5.3499999999999997E-3</v>
      </c>
      <c r="AJ57" s="95">
        <v>2.9499999999999999E-3</v>
      </c>
      <c r="AK57" s="95">
        <v>4.0299999999999997E-3</v>
      </c>
      <c r="AL57" s="95">
        <v>4.5500000000000002E-3</v>
      </c>
      <c r="AM57" s="97">
        <v>5.3039999999999997E-3</v>
      </c>
      <c r="AN57" s="95">
        <v>1.397E-3</v>
      </c>
      <c r="AO57" s="95">
        <v>2.9220000000000001E-3</v>
      </c>
      <c r="AP57" s="101">
        <v>1.01E-3</v>
      </c>
      <c r="AQ57" s="101">
        <v>1.122E-3</v>
      </c>
      <c r="AR57" s="101">
        <v>2.4260000000000002E-3</v>
      </c>
      <c r="AS57" s="101">
        <v>2.183E-3</v>
      </c>
      <c r="AT57" s="101">
        <v>9.7300000000000002E-4</v>
      </c>
      <c r="AU57" s="101">
        <v>1.578E-3</v>
      </c>
      <c r="AV57" s="95">
        <v>1.3517E-3</v>
      </c>
      <c r="AW57" s="95">
        <v>4.202E-3</v>
      </c>
      <c r="AX57" s="95">
        <v>3.6914000000000001E-3</v>
      </c>
      <c r="AY57" s="95">
        <v>2.7109999999999999E-3</v>
      </c>
      <c r="AZ57" s="101">
        <v>2.6979999999999999E-3</v>
      </c>
      <c r="BA57" s="101" t="s">
        <v>50</v>
      </c>
      <c r="BB57" s="95">
        <v>6.8799999999999998E-3</v>
      </c>
      <c r="BC57" s="95">
        <v>1.457E-2</v>
      </c>
      <c r="BD57" s="95">
        <v>4.9070600214604441E-3</v>
      </c>
      <c r="BE57" s="95">
        <v>4.7782921304139227E-3</v>
      </c>
      <c r="BF57" s="95">
        <v>4.6714049318628062E-3</v>
      </c>
      <c r="BG57" s="101">
        <v>4.5576045657545984E-3</v>
      </c>
      <c r="BH57" s="95">
        <v>3.4060000000000002E-3</v>
      </c>
      <c r="BI57" s="101">
        <v>1.0030000000000001E-2</v>
      </c>
      <c r="BJ57" s="95">
        <v>1.124E-3</v>
      </c>
      <c r="BK57" s="95">
        <v>1.508E-3</v>
      </c>
      <c r="BL57" s="95">
        <v>9.8619999999999992E-3</v>
      </c>
      <c r="BM57" s="95">
        <v>6.7340000000000004E-3</v>
      </c>
      <c r="BN57" s="95">
        <v>7.6810000000000003E-3</v>
      </c>
      <c r="BO57" s="101">
        <v>2.5560000000000001E-3</v>
      </c>
      <c r="BP57" s="101">
        <v>4.1799999999999997E-3</v>
      </c>
      <c r="BQ57" s="101">
        <v>3.4099999999999998E-3</v>
      </c>
      <c r="BR57" s="101">
        <v>1.0460000000000001E-3</v>
      </c>
      <c r="BS57" s="101">
        <v>1.6969999999999999E-3</v>
      </c>
      <c r="BT57" s="95">
        <v>4.7600000000000003E-3</v>
      </c>
      <c r="BU57" s="95">
        <v>5.0600000000000003E-3</v>
      </c>
      <c r="BV57" s="97">
        <v>5.16E-2</v>
      </c>
      <c r="BW57" s="97">
        <v>7.6115221451391823E-2</v>
      </c>
      <c r="BX57" s="97">
        <v>8.6999999999999994E-2</v>
      </c>
      <c r="BY57" s="97">
        <v>6.4600000000000005E-2</v>
      </c>
      <c r="BZ57" s="96">
        <v>5.2999999999999999E-2</v>
      </c>
      <c r="CA57" s="97">
        <v>4.4999999999999998E-2</v>
      </c>
      <c r="CB57" s="97">
        <v>7.45E-3</v>
      </c>
      <c r="CC57" s="97">
        <v>2.2571000000000001E-2</v>
      </c>
      <c r="CD57" s="97">
        <v>2.7E-2</v>
      </c>
      <c r="CE57" s="97">
        <v>5.0000000000000002E-5</v>
      </c>
      <c r="CF57" s="97">
        <v>1.77E-2</v>
      </c>
      <c r="CG57" s="96">
        <v>5.2999999999999999E-2</v>
      </c>
      <c r="CH57" s="96">
        <v>5.2999999999999999E-2</v>
      </c>
      <c r="CI57" s="95">
        <v>1.1739999999999999E-3</v>
      </c>
      <c r="CJ57" s="95">
        <v>9.3999999999999997E-4</v>
      </c>
      <c r="CK57" s="101">
        <v>5.7800000000000004E-3</v>
      </c>
      <c r="CL57" s="96">
        <v>5.1900000000000002E-2</v>
      </c>
      <c r="CM57" s="101">
        <v>2.4499999999999999E-3</v>
      </c>
      <c r="CN57" s="101">
        <v>1.03E-2</v>
      </c>
      <c r="CO57" s="95">
        <v>7.1199999999999996E-3</v>
      </c>
      <c r="CP57" s="95">
        <v>4.1700000000000001E-3</v>
      </c>
      <c r="CQ57" s="101">
        <v>2.2100000000000002E-3</v>
      </c>
      <c r="CR57" s="95">
        <v>4.0000000000000001E-3</v>
      </c>
      <c r="CS57" s="95">
        <v>3.6600000000000001E-3</v>
      </c>
      <c r="CT57" s="95">
        <v>2.97E-3</v>
      </c>
      <c r="CU57" s="95">
        <v>1.98E-3</v>
      </c>
      <c r="CV57" s="95">
        <v>1.1100000000000001E-3</v>
      </c>
      <c r="CW57" s="95">
        <v>2.5899999999999999E-3</v>
      </c>
      <c r="CX57" s="95">
        <v>4.6299999999999996E-3</v>
      </c>
      <c r="CY57" s="104">
        <v>8.1620000000000008</v>
      </c>
      <c r="CZ57" s="104">
        <v>6.952</v>
      </c>
      <c r="DA57" s="104">
        <v>7.6</v>
      </c>
      <c r="DB57" s="104">
        <v>7.88</v>
      </c>
      <c r="DC57" s="104">
        <v>7.96</v>
      </c>
      <c r="DD57" s="104">
        <v>11.66</v>
      </c>
    </row>
    <row r="58" spans="1:108">
      <c r="A58" s="54">
        <v>46</v>
      </c>
      <c r="B58" s="95">
        <v>4.1200000000000004E-3</v>
      </c>
      <c r="C58" s="95">
        <v>1.1560000000000001E-2</v>
      </c>
      <c r="D58" s="96">
        <v>1.0349999999999999E-3</v>
      </c>
      <c r="E58" s="96">
        <v>1.9740000000000001E-3</v>
      </c>
      <c r="F58" s="95">
        <v>1.1479999999999999E-3</v>
      </c>
      <c r="G58" s="95">
        <v>2.1979999999999999E-3</v>
      </c>
      <c r="H58" s="95">
        <v>2.196E-3</v>
      </c>
      <c r="I58" s="95">
        <v>4.1159999999999999E-3</v>
      </c>
      <c r="J58" s="95">
        <v>4.1159999999999999E-3</v>
      </c>
      <c r="K58" s="95">
        <v>3.2440000000000004E-3</v>
      </c>
      <c r="L58" s="95">
        <v>3.32E-3</v>
      </c>
      <c r="M58" s="95">
        <v>1.3619999999999999E-3</v>
      </c>
      <c r="N58" s="95">
        <v>1.2310000000000001E-3</v>
      </c>
      <c r="O58" s="95">
        <v>2.9880000000000002E-3</v>
      </c>
      <c r="P58" s="95">
        <v>2.6930000000000001E-3</v>
      </c>
      <c r="Q58" s="97">
        <v>1.4E-3</v>
      </c>
      <c r="R58" s="97">
        <v>2.9499999999999999E-3</v>
      </c>
      <c r="S58" s="97">
        <v>1.0399999999999999E-3</v>
      </c>
      <c r="T58" s="97">
        <v>2.15E-3</v>
      </c>
      <c r="U58" s="98">
        <v>1.5758E-3</v>
      </c>
      <c r="V58" s="99">
        <v>2.3465999999999999E-3</v>
      </c>
      <c r="W58" s="98">
        <v>9.6630000000000001E-4</v>
      </c>
      <c r="X58" s="99">
        <v>1.7246E-3</v>
      </c>
      <c r="Y58" s="100">
        <v>1.6056642E-3</v>
      </c>
      <c r="Z58" s="100">
        <v>2.5148862000000001E-3</v>
      </c>
      <c r="AA58" s="100">
        <v>1.0669983000000001E-3</v>
      </c>
      <c r="AB58" s="100">
        <v>1.8018142E-3</v>
      </c>
      <c r="AC58" s="95">
        <v>6.7000000000000002E-3</v>
      </c>
      <c r="AD58" s="95">
        <v>9.2300000000000004E-3</v>
      </c>
      <c r="AE58" s="95">
        <v>5.8300000000000001E-3</v>
      </c>
      <c r="AF58" s="95">
        <v>4.7245000000000004E-3</v>
      </c>
      <c r="AG58" s="95">
        <v>4.5300000000000002E-3</v>
      </c>
      <c r="AH58" s="95">
        <v>6.0940999999999999E-3</v>
      </c>
      <c r="AI58" s="95">
        <v>5.8300000000000001E-3</v>
      </c>
      <c r="AJ58" s="95">
        <v>3.2799999999999999E-3</v>
      </c>
      <c r="AK58" s="95">
        <v>4.4600000000000004E-3</v>
      </c>
      <c r="AL58" s="95">
        <v>4.9199999999999999E-3</v>
      </c>
      <c r="AM58" s="97">
        <v>5.8809999999999999E-3</v>
      </c>
      <c r="AN58" s="95">
        <v>1.519E-3</v>
      </c>
      <c r="AO58" s="95">
        <v>3.3180000000000002E-3</v>
      </c>
      <c r="AP58" s="101">
        <v>1.1169999999999999E-3</v>
      </c>
      <c r="AQ58" s="101">
        <v>1.2409999999999999E-3</v>
      </c>
      <c r="AR58" s="101">
        <v>2.745E-3</v>
      </c>
      <c r="AS58" s="101">
        <v>2.4710000000000001E-3</v>
      </c>
      <c r="AT58" s="101">
        <v>1.0330000000000001E-3</v>
      </c>
      <c r="AU58" s="101">
        <v>1.722E-3</v>
      </c>
      <c r="AV58" s="95">
        <v>1.4197000000000001E-3</v>
      </c>
      <c r="AW58" s="95">
        <v>4.6309999999999997E-3</v>
      </c>
      <c r="AX58" s="95">
        <v>4.0889000000000003E-3</v>
      </c>
      <c r="AY58" s="95">
        <v>2.9550000000000002E-3</v>
      </c>
      <c r="AZ58" s="101">
        <v>2.941E-3</v>
      </c>
      <c r="BA58" s="101" t="s">
        <v>51</v>
      </c>
      <c r="BB58" s="95">
        <v>7.3499999999999998E-3</v>
      </c>
      <c r="BC58" s="95">
        <v>1.52E-2</v>
      </c>
      <c r="BD58" s="95">
        <v>5.263752961752027E-3</v>
      </c>
      <c r="BE58" s="95">
        <v>5.1274979746422132E-3</v>
      </c>
      <c r="BF58" s="95">
        <v>5.0164347031873583E-3</v>
      </c>
      <c r="BG58" s="101">
        <v>4.8944081750939882E-3</v>
      </c>
      <c r="BH58" s="95">
        <v>3.8709999999999999E-3</v>
      </c>
      <c r="BI58" s="101">
        <v>1.048E-2</v>
      </c>
      <c r="BJ58" s="95">
        <v>1.2229999999999999E-3</v>
      </c>
      <c r="BK58" s="95">
        <v>1.616E-3</v>
      </c>
      <c r="BL58" s="95">
        <v>1.0652999999999999E-2</v>
      </c>
      <c r="BM58" s="95">
        <v>7.443E-3</v>
      </c>
      <c r="BN58" s="95">
        <v>8.3549999999999996E-3</v>
      </c>
      <c r="BO58" s="101">
        <v>2.8180000000000002E-3</v>
      </c>
      <c r="BP58" s="101">
        <v>4.6350000000000002E-3</v>
      </c>
      <c r="BQ58" s="101">
        <v>3.7690000000000002E-3</v>
      </c>
      <c r="BR58" s="101">
        <v>1.111E-3</v>
      </c>
      <c r="BS58" s="101">
        <v>1.8519999999999999E-3</v>
      </c>
      <c r="BT58" s="95">
        <v>5.2100000000000002E-3</v>
      </c>
      <c r="BU58" s="95">
        <v>5.5100000000000001E-3</v>
      </c>
      <c r="BV58" s="97">
        <v>5.0700000000000002E-2</v>
      </c>
      <c r="BW58" s="97">
        <v>7.4565748046657165E-2</v>
      </c>
      <c r="BX58" s="97">
        <v>8.7999999999999995E-2</v>
      </c>
      <c r="BY58" s="97">
        <v>6.3899999999999998E-2</v>
      </c>
      <c r="BZ58" s="96">
        <v>5.2499999999999998E-2</v>
      </c>
      <c r="CA58" s="97">
        <v>4.3999999999999997E-2</v>
      </c>
      <c r="CB58" s="97">
        <v>8.1840000000000003E-3</v>
      </c>
      <c r="CC58" s="97">
        <v>2.3847E-2</v>
      </c>
      <c r="CD58" s="97">
        <v>2.7E-2</v>
      </c>
      <c r="CE58" s="97">
        <v>5.0000000000000002E-5</v>
      </c>
      <c r="CF58" s="97">
        <v>1.8450000000000001E-2</v>
      </c>
      <c r="CG58" s="96">
        <v>5.2499999999999998E-2</v>
      </c>
      <c r="CH58" s="96">
        <v>5.2499999999999998E-2</v>
      </c>
      <c r="CI58" s="95">
        <v>1.271E-3</v>
      </c>
      <c r="CJ58" s="95">
        <v>1E-3</v>
      </c>
      <c r="CK58" s="101">
        <v>6.0699999999999999E-3</v>
      </c>
      <c r="CL58" s="96">
        <v>5.2299999999999999E-2</v>
      </c>
      <c r="CM58" s="101">
        <v>2.5899999999999999E-3</v>
      </c>
      <c r="CN58" s="101">
        <v>1.15E-2</v>
      </c>
      <c r="CO58" s="95">
        <v>7.7200000000000003E-3</v>
      </c>
      <c r="CP58" s="95">
        <v>4.5700000000000003E-3</v>
      </c>
      <c r="CQ58" s="101">
        <v>2.3600000000000001E-3</v>
      </c>
      <c r="CR58" s="95">
        <v>4.4999999999999997E-3</v>
      </c>
      <c r="CS58" s="95">
        <v>4.0499999999999998E-3</v>
      </c>
      <c r="CT58" s="95">
        <v>3.32E-3</v>
      </c>
      <c r="CU58" s="95">
        <v>2.2100000000000002E-3</v>
      </c>
      <c r="CV58" s="95">
        <v>1.1900000000000001E-3</v>
      </c>
      <c r="CW58" s="95">
        <v>2.8700000000000002E-3</v>
      </c>
      <c r="CX58" s="95">
        <v>5.7400000000000003E-3</v>
      </c>
      <c r="CY58" s="104">
        <v>8.4139999999999997</v>
      </c>
      <c r="CZ58" s="104">
        <v>7.0279999999999996</v>
      </c>
      <c r="DA58" s="104">
        <v>7.75</v>
      </c>
      <c r="DB58" s="104">
        <v>8.16</v>
      </c>
      <c r="DC58" s="104">
        <v>8.18</v>
      </c>
      <c r="DD58" s="104">
        <v>11.97</v>
      </c>
    </row>
    <row r="59" spans="1:108">
      <c r="A59" s="54">
        <v>47</v>
      </c>
      <c r="B59" s="95">
        <v>4.5500000000000002E-3</v>
      </c>
      <c r="C59" s="95">
        <v>1.2E-2</v>
      </c>
      <c r="D59" s="96">
        <v>1.1410000000000001E-3</v>
      </c>
      <c r="E59" s="96">
        <v>2.2109999999999999E-3</v>
      </c>
      <c r="F59" s="95">
        <v>1.2669999999999999E-3</v>
      </c>
      <c r="G59" s="95">
        <v>2.4629999999999999E-3</v>
      </c>
      <c r="H59" s="95">
        <v>2.3909999999999999E-3</v>
      </c>
      <c r="I59" s="95">
        <v>4.6569999999999997E-3</v>
      </c>
      <c r="J59" s="95">
        <v>4.6569999999999997E-3</v>
      </c>
      <c r="K59" s="95">
        <v>3.5349999999999999E-3</v>
      </c>
      <c r="L59" s="95">
        <v>3.7499999999999999E-3</v>
      </c>
      <c r="M59" s="95">
        <v>1.5E-3</v>
      </c>
      <c r="N59" s="95">
        <v>1.356E-3</v>
      </c>
      <c r="O59" s="95">
        <v>3.3430000000000001E-3</v>
      </c>
      <c r="P59" s="95">
        <v>3.009E-3</v>
      </c>
      <c r="Q59" s="97">
        <v>1.5200000000000001E-3</v>
      </c>
      <c r="R59" s="97">
        <v>3.1700000000000001E-3</v>
      </c>
      <c r="S59" s="97">
        <v>1.1199999999999999E-3</v>
      </c>
      <c r="T59" s="97">
        <v>2.31E-3</v>
      </c>
      <c r="U59" s="98">
        <v>1.7321999999999999E-3</v>
      </c>
      <c r="V59" s="99">
        <v>2.5428999999999998E-3</v>
      </c>
      <c r="W59" s="98">
        <v>1.0660999999999999E-3</v>
      </c>
      <c r="X59" s="99">
        <v>1.8462999999999999E-3</v>
      </c>
      <c r="Y59" s="100">
        <v>1.7536568E-3</v>
      </c>
      <c r="Z59" s="100">
        <v>2.7404001000000001E-3</v>
      </c>
      <c r="AA59" s="100">
        <v>1.1674964E-3</v>
      </c>
      <c r="AB59" s="100">
        <v>1.9683285999999999E-3</v>
      </c>
      <c r="AC59" s="95">
        <v>7.3099999999999997E-3</v>
      </c>
      <c r="AD59" s="95">
        <v>9.9100000000000004E-3</v>
      </c>
      <c r="AE59" s="95">
        <v>6.3600000000000002E-3</v>
      </c>
      <c r="AF59" s="95">
        <v>5.1345000000000002E-3</v>
      </c>
      <c r="AG59" s="95">
        <v>4.9199999999999999E-3</v>
      </c>
      <c r="AH59" s="95">
        <v>6.6540999999999996E-3</v>
      </c>
      <c r="AI59" s="95">
        <v>6.3600000000000002E-3</v>
      </c>
      <c r="AJ59" s="95">
        <v>3.64E-3</v>
      </c>
      <c r="AK59" s="95">
        <v>4.9399999999999999E-3</v>
      </c>
      <c r="AL59" s="95">
        <v>5.3200000000000001E-3</v>
      </c>
      <c r="AM59" s="97">
        <v>6.4590000000000003E-3</v>
      </c>
      <c r="AN59" s="95">
        <v>1.6540000000000001E-3</v>
      </c>
      <c r="AO59" s="95">
        <v>3.754E-3</v>
      </c>
      <c r="AP59" s="101">
        <v>1.237E-3</v>
      </c>
      <c r="AQ59" s="101">
        <v>1.374E-3</v>
      </c>
      <c r="AR59" s="101">
        <v>3.0999999999999999E-3</v>
      </c>
      <c r="AS59" s="101">
        <v>2.7899999999999999E-3</v>
      </c>
      <c r="AT59" s="101">
        <v>1.1119999999999999E-3</v>
      </c>
      <c r="AU59" s="101">
        <v>1.8990000000000001E-3</v>
      </c>
      <c r="AV59" s="95">
        <v>1.5020000000000001E-3</v>
      </c>
      <c r="AW59" s="95">
        <v>5.1029999999999999E-3</v>
      </c>
      <c r="AX59" s="95">
        <v>4.5244999999999999E-3</v>
      </c>
      <c r="AY59" s="95">
        <v>3.2330000000000002E-3</v>
      </c>
      <c r="AZ59" s="101">
        <v>3.2190000000000001E-3</v>
      </c>
      <c r="BA59" s="101" t="s">
        <v>52</v>
      </c>
      <c r="BB59" s="95">
        <v>7.8600000000000007E-3</v>
      </c>
      <c r="BC59" s="95">
        <v>1.5900000000000001E-2</v>
      </c>
      <c r="BD59" s="95">
        <v>5.6288757711567793E-3</v>
      </c>
      <c r="BE59" s="95">
        <v>5.4858191352857048E-3</v>
      </c>
      <c r="BF59" s="95">
        <v>5.3712145151669933E-3</v>
      </c>
      <c r="BG59" s="101">
        <v>5.2421414260600714E-3</v>
      </c>
      <c r="BH59" s="95">
        <v>4.3870000000000003E-3</v>
      </c>
      <c r="BI59" s="101">
        <v>1.0970000000000001E-2</v>
      </c>
      <c r="BJ59" s="95">
        <v>1.3259999999999999E-3</v>
      </c>
      <c r="BK59" s="95">
        <v>1.7340000000000001E-3</v>
      </c>
      <c r="BL59" s="95">
        <v>1.1525000000000001E-2</v>
      </c>
      <c r="BM59" s="95">
        <v>8.1460000000000005E-3</v>
      </c>
      <c r="BN59" s="95">
        <v>9.0980000000000002E-3</v>
      </c>
      <c r="BO59" s="101">
        <v>3.0950000000000001E-3</v>
      </c>
      <c r="BP59" s="101">
        <v>5.1029999999999999E-3</v>
      </c>
      <c r="BQ59" s="101">
        <v>4.1799999999999997E-3</v>
      </c>
      <c r="BR59" s="101">
        <v>1.196E-3</v>
      </c>
      <c r="BS59" s="101">
        <v>2.042E-3</v>
      </c>
      <c r="BT59" s="95">
        <v>5.7299999999999999E-3</v>
      </c>
      <c r="BU59" s="95">
        <v>6.0000000000000001E-3</v>
      </c>
      <c r="BV59" s="97">
        <v>4.9500000000000002E-2</v>
      </c>
      <c r="BW59" s="97">
        <v>7.3132268631731501E-2</v>
      </c>
      <c r="BX59" s="97">
        <v>8.7999999999999995E-2</v>
      </c>
      <c r="BY59" s="97">
        <v>6.3299999999999995E-2</v>
      </c>
      <c r="BZ59" s="96">
        <v>5.1999999999999998E-2</v>
      </c>
      <c r="CA59" s="97">
        <v>4.2999999999999997E-2</v>
      </c>
      <c r="CB59" s="97">
        <v>8.9589999999999999E-3</v>
      </c>
      <c r="CC59" s="97">
        <v>2.5124E-2</v>
      </c>
      <c r="CD59" s="97">
        <v>2.8000000000000001E-2</v>
      </c>
      <c r="CE59" s="97">
        <v>6.0000000000000002E-5</v>
      </c>
      <c r="CF59" s="97">
        <v>1.924E-2</v>
      </c>
      <c r="CG59" s="96">
        <v>5.1999999999999998E-2</v>
      </c>
      <c r="CH59" s="96">
        <v>5.1999999999999998E-2</v>
      </c>
      <c r="CI59" s="95">
        <v>1.3829999999999999E-3</v>
      </c>
      <c r="CJ59" s="95">
        <v>1.07E-3</v>
      </c>
      <c r="CK59" s="101">
        <v>6.4000000000000003E-3</v>
      </c>
      <c r="CL59" s="96">
        <v>5.4300000000000001E-2</v>
      </c>
      <c r="CM59" s="101">
        <v>2.7499999999999998E-3</v>
      </c>
      <c r="CN59" s="101">
        <v>1.26E-2</v>
      </c>
      <c r="CO59" s="95">
        <v>8.3800000000000003E-3</v>
      </c>
      <c r="CP59" s="95">
        <v>5.0099999999999997E-3</v>
      </c>
      <c r="CQ59" s="101">
        <v>2.5600000000000002E-3</v>
      </c>
      <c r="CR59" s="95">
        <v>5.0000000000000001E-3</v>
      </c>
      <c r="CS59" s="95">
        <v>4.47E-3</v>
      </c>
      <c r="CT59" s="95">
        <v>3.7399999999999998E-3</v>
      </c>
      <c r="CU59" s="95">
        <v>2.49E-3</v>
      </c>
      <c r="CV59" s="95">
        <v>1.2899999999999999E-3</v>
      </c>
      <c r="CW59" s="95">
        <v>3.2200000000000002E-3</v>
      </c>
      <c r="CX59" s="95">
        <v>6.5599999999999999E-3</v>
      </c>
      <c r="CY59" s="104">
        <v>8.7080000000000002</v>
      </c>
      <c r="CZ59" s="104">
        <v>7.0410000000000004</v>
      </c>
      <c r="DA59" s="104">
        <v>7.95</v>
      </c>
      <c r="DB59" s="104">
        <v>8.4499999999999993</v>
      </c>
      <c r="DC59" s="104">
        <v>8.4600000000000009</v>
      </c>
      <c r="DD59" s="104">
        <v>12.29</v>
      </c>
    </row>
    <row r="60" spans="1:108">
      <c r="A60" s="54">
        <v>48</v>
      </c>
      <c r="B60" s="95">
        <v>5.0200000000000002E-3</v>
      </c>
      <c r="C60" s="95">
        <v>1.251E-2</v>
      </c>
      <c r="D60" s="96">
        <v>1.261E-3</v>
      </c>
      <c r="E60" s="96">
        <v>2.4599999999999999E-3</v>
      </c>
      <c r="F60" s="95">
        <v>1.4E-3</v>
      </c>
      <c r="G60" s="95">
        <v>2.7399999999999998E-3</v>
      </c>
      <c r="H60" s="95">
        <v>2.6059999999999998E-3</v>
      </c>
      <c r="I60" s="95">
        <v>5.2459999999999998E-3</v>
      </c>
      <c r="J60" s="95">
        <v>5.2460000000000007E-3</v>
      </c>
      <c r="K60" s="95">
        <v>3.849E-3</v>
      </c>
      <c r="L60" s="95">
        <v>4.2300000000000003E-3</v>
      </c>
      <c r="M60" s="95">
        <v>1.658E-3</v>
      </c>
      <c r="N60" s="95">
        <v>1.4989999999999999E-3</v>
      </c>
      <c r="O60" s="95">
        <v>3.718E-3</v>
      </c>
      <c r="P60" s="95">
        <v>3.3430000000000001E-3</v>
      </c>
      <c r="Q60" s="97">
        <v>1.64E-3</v>
      </c>
      <c r="R60" s="97">
        <v>3.4099999999999998E-3</v>
      </c>
      <c r="S60" s="97">
        <v>1.2099999999999999E-3</v>
      </c>
      <c r="T60" s="97">
        <v>2.49E-3</v>
      </c>
      <c r="U60" s="98">
        <v>1.9093000000000001E-3</v>
      </c>
      <c r="V60" s="99">
        <v>2.7966000000000002E-3</v>
      </c>
      <c r="W60" s="98">
        <v>1.1670000000000001E-3</v>
      </c>
      <c r="X60" s="99">
        <v>2.0008999999999999E-3</v>
      </c>
      <c r="Y60" s="100">
        <v>1.9163234000000001E-3</v>
      </c>
      <c r="Z60" s="100">
        <v>2.9891469000000001E-3</v>
      </c>
      <c r="AA60" s="100">
        <v>1.2785896000000001E-3</v>
      </c>
      <c r="AB60" s="100">
        <v>2.1525216999999999E-3</v>
      </c>
      <c r="AC60" s="95">
        <v>7.9799999999999992E-3</v>
      </c>
      <c r="AD60" s="95">
        <v>1.064E-2</v>
      </c>
      <c r="AE60" s="95">
        <v>6.9499999999999996E-3</v>
      </c>
      <c r="AF60" s="95">
        <v>5.5893999999999996E-3</v>
      </c>
      <c r="AG60" s="95">
        <v>5.3499999999999997E-3</v>
      </c>
      <c r="AH60" s="95">
        <v>7.2738999999999998E-3</v>
      </c>
      <c r="AI60" s="95">
        <v>6.9499999999999996E-3</v>
      </c>
      <c r="AJ60" s="95">
        <v>4.0299999999999997E-3</v>
      </c>
      <c r="AK60" s="95">
        <v>5.47E-3</v>
      </c>
      <c r="AL60" s="95">
        <v>5.7400000000000003E-3</v>
      </c>
      <c r="AM60" s="97">
        <v>7.123E-3</v>
      </c>
      <c r="AN60" s="95">
        <v>1.802E-3</v>
      </c>
      <c r="AO60" s="95">
        <v>4.228E-3</v>
      </c>
      <c r="AP60" s="101">
        <v>1.366E-3</v>
      </c>
      <c r="AQ60" s="101">
        <v>1.518E-3</v>
      </c>
      <c r="AR60" s="101">
        <v>3.4870000000000001E-3</v>
      </c>
      <c r="AS60" s="101">
        <v>3.1380000000000002E-3</v>
      </c>
      <c r="AT60" s="101">
        <v>1.206E-3</v>
      </c>
      <c r="AU60" s="101">
        <v>2.1020000000000001E-3</v>
      </c>
      <c r="AV60" s="95">
        <v>1.6022E-3</v>
      </c>
      <c r="AW60" s="95">
        <v>5.62E-3</v>
      </c>
      <c r="AX60" s="95">
        <v>4.9995999999999999E-3</v>
      </c>
      <c r="AY60" s="95">
        <v>3.5479999999999999E-3</v>
      </c>
      <c r="AZ60" s="101">
        <v>3.5339999999999998E-3</v>
      </c>
      <c r="BA60" s="101" t="s">
        <v>53</v>
      </c>
      <c r="BB60" s="95">
        <v>8.4100000000000008E-3</v>
      </c>
      <c r="BC60" s="95">
        <v>1.6670000000000001E-2</v>
      </c>
      <c r="BD60" s="95">
        <v>5.9969969672982945E-3</v>
      </c>
      <c r="BE60" s="95">
        <v>5.848093442304492E-3</v>
      </c>
      <c r="BF60" s="95">
        <v>5.7307746834373537E-3</v>
      </c>
      <c r="BG60" s="101">
        <v>5.5965637150413522E-3</v>
      </c>
      <c r="BH60" s="95">
        <v>4.9519999999999998E-3</v>
      </c>
      <c r="BI60" s="101">
        <v>1.1509999999999999E-2</v>
      </c>
      <c r="BJ60" s="95">
        <v>1.4339999999999999E-3</v>
      </c>
      <c r="BK60" s="95">
        <v>1.8600000000000001E-3</v>
      </c>
      <c r="BL60" s="95">
        <v>1.2488000000000001E-2</v>
      </c>
      <c r="BM60" s="95">
        <v>8.9510000000000006E-3</v>
      </c>
      <c r="BN60" s="95">
        <v>9.9159999999999995E-3</v>
      </c>
      <c r="BO60" s="101">
        <v>3.4099999999999998E-3</v>
      </c>
      <c r="BP60" s="101">
        <v>5.6160000000000003E-3</v>
      </c>
      <c r="BQ60" s="101">
        <v>4.6350000000000002E-3</v>
      </c>
      <c r="BR60" s="101">
        <v>1.297E-3</v>
      </c>
      <c r="BS60" s="101">
        <v>2.2599999999999999E-3</v>
      </c>
      <c r="BT60" s="95">
        <v>6.3299999999999997E-3</v>
      </c>
      <c r="BU60" s="95">
        <v>6.5500000000000003E-3</v>
      </c>
      <c r="BV60" s="97">
        <v>4.9299999999999997E-2</v>
      </c>
      <c r="BW60" s="97">
        <v>7.1816686489459491E-2</v>
      </c>
      <c r="BX60" s="97">
        <v>8.8999999999999996E-2</v>
      </c>
      <c r="BY60" s="97">
        <v>6.2799999999999995E-2</v>
      </c>
      <c r="BZ60" s="96">
        <v>5.16E-2</v>
      </c>
      <c r="CA60" s="97">
        <v>4.2000000000000003E-2</v>
      </c>
      <c r="CB60" s="97">
        <v>9.7750000000000007E-3</v>
      </c>
      <c r="CC60" s="97">
        <v>2.6404E-2</v>
      </c>
      <c r="CD60" s="97">
        <v>2.9000000000000001E-2</v>
      </c>
      <c r="CE60" s="97">
        <v>6.0000000000000002E-5</v>
      </c>
      <c r="CF60" s="97">
        <v>2.009E-2</v>
      </c>
      <c r="CG60" s="96">
        <v>5.16E-2</v>
      </c>
      <c r="CH60" s="96">
        <v>5.16E-2</v>
      </c>
      <c r="CI60" s="95">
        <v>1.511E-3</v>
      </c>
      <c r="CJ60" s="95">
        <v>1.16E-3</v>
      </c>
      <c r="CK60" s="101">
        <v>6.7600000000000004E-3</v>
      </c>
      <c r="CL60" s="96">
        <v>5.7799999999999997E-2</v>
      </c>
      <c r="CM60" s="101">
        <v>2.9499999999999999E-3</v>
      </c>
      <c r="CN60" s="101">
        <v>1.3899999999999999E-2</v>
      </c>
      <c r="CO60" s="95">
        <v>9.0399999999999994E-3</v>
      </c>
      <c r="CP60" s="95">
        <v>5.4799999999999996E-3</v>
      </c>
      <c r="CQ60" s="101">
        <v>2.7899999999999999E-3</v>
      </c>
      <c r="CR60" s="95">
        <v>5.7000000000000002E-3</v>
      </c>
      <c r="CS60" s="95">
        <v>4.9100000000000003E-3</v>
      </c>
      <c r="CT60" s="95">
        <v>4.2100000000000002E-3</v>
      </c>
      <c r="CU60" s="95">
        <v>2.81E-3</v>
      </c>
      <c r="CV60" s="95">
        <v>1.4E-3</v>
      </c>
      <c r="CW60" s="95">
        <v>3.5999999999999999E-3</v>
      </c>
      <c r="CX60" s="95">
        <v>7.79E-3</v>
      </c>
      <c r="CY60" s="104">
        <v>9.0299999999999994</v>
      </c>
      <c r="CZ60" s="104">
        <v>7.056</v>
      </c>
      <c r="DA60" s="104">
        <v>8.2200000000000006</v>
      </c>
      <c r="DB60" s="104">
        <v>8.76</v>
      </c>
      <c r="DC60" s="104">
        <v>8.82</v>
      </c>
      <c r="DD60" s="104">
        <v>12.63</v>
      </c>
    </row>
    <row r="61" spans="1:108">
      <c r="A61" s="54">
        <v>49</v>
      </c>
      <c r="B61" s="95">
        <v>5.5399999999999998E-3</v>
      </c>
      <c r="C61" s="95">
        <v>1.311E-2</v>
      </c>
      <c r="D61" s="96">
        <v>1.3929999999999999E-3</v>
      </c>
      <c r="E61" s="96">
        <v>2.7209999999999999E-3</v>
      </c>
      <c r="F61" s="95">
        <v>1.5479999999999999E-3</v>
      </c>
      <c r="G61" s="95">
        <v>3.0279999999999999E-3</v>
      </c>
      <c r="H61" s="95">
        <v>2.8449999999999999E-3</v>
      </c>
      <c r="I61" s="95">
        <v>5.8799999999999998E-3</v>
      </c>
      <c r="J61" s="95">
        <v>5.8799999999999998E-3</v>
      </c>
      <c r="K61" s="95">
        <v>4.1869999999999997E-3</v>
      </c>
      <c r="L61" s="95">
        <v>4.7400000000000003E-3</v>
      </c>
      <c r="M61" s="95">
        <v>1.8370000000000001E-3</v>
      </c>
      <c r="N61" s="95">
        <v>1.6570000000000001E-3</v>
      </c>
      <c r="O61" s="95">
        <v>4.1099999999999999E-3</v>
      </c>
      <c r="P61" s="95">
        <v>3.6939999999999998E-3</v>
      </c>
      <c r="Q61" s="97">
        <v>1.7799999999999999E-3</v>
      </c>
      <c r="R61" s="97">
        <v>3.6700000000000001E-3</v>
      </c>
      <c r="S61" s="97">
        <v>1.31E-3</v>
      </c>
      <c r="T61" s="97">
        <v>2.6800000000000001E-3</v>
      </c>
      <c r="U61" s="98">
        <v>2.1023000000000001E-3</v>
      </c>
      <c r="V61" s="99">
        <v>3.0327000000000002E-3</v>
      </c>
      <c r="W61" s="98">
        <v>1.2926000000000001E-3</v>
      </c>
      <c r="X61" s="99">
        <v>2.1789000000000001E-3</v>
      </c>
      <c r="Y61" s="100">
        <v>2.0948383E-3</v>
      </c>
      <c r="Z61" s="100">
        <v>3.2632387000000001E-3</v>
      </c>
      <c r="AA61" s="100">
        <v>1.4010056999999999E-3</v>
      </c>
      <c r="AB61" s="100">
        <v>2.3562892999999998E-3</v>
      </c>
      <c r="AC61" s="95">
        <v>8.7200000000000003E-3</v>
      </c>
      <c r="AD61" s="95">
        <v>1.145E-2</v>
      </c>
      <c r="AE61" s="95">
        <v>7.6E-3</v>
      </c>
      <c r="AF61" s="95">
        <v>6.0940999999999999E-3</v>
      </c>
      <c r="AG61" s="95">
        <v>5.8300000000000001E-3</v>
      </c>
      <c r="AH61" s="95">
        <v>7.9585999999999997E-3</v>
      </c>
      <c r="AI61" s="95">
        <v>7.6E-3</v>
      </c>
      <c r="AJ61" s="95">
        <v>4.4600000000000004E-3</v>
      </c>
      <c r="AK61" s="95">
        <v>6.0600000000000003E-3</v>
      </c>
      <c r="AL61" s="95">
        <v>6.2100000000000002E-3</v>
      </c>
      <c r="AM61" s="97">
        <v>7.835E-3</v>
      </c>
      <c r="AN61" s="95">
        <v>1.967E-3</v>
      </c>
      <c r="AO61" s="95">
        <v>4.7400000000000003E-3</v>
      </c>
      <c r="AP61" s="101">
        <v>1.505E-3</v>
      </c>
      <c r="AQ61" s="101">
        <v>1.6720000000000001E-3</v>
      </c>
      <c r="AR61" s="101">
        <v>3.9029999999999998E-3</v>
      </c>
      <c r="AS61" s="101">
        <v>3.5130000000000001E-3</v>
      </c>
      <c r="AT61" s="101">
        <v>1.31E-3</v>
      </c>
      <c r="AU61" s="101">
        <v>2.3259999999999999E-3</v>
      </c>
      <c r="AV61" s="95">
        <v>1.7248999999999999E-3</v>
      </c>
      <c r="AW61" s="95">
        <v>6.1850000000000004E-3</v>
      </c>
      <c r="AX61" s="95">
        <v>5.5157000000000001E-3</v>
      </c>
      <c r="AY61" s="95">
        <v>3.9060000000000002E-3</v>
      </c>
      <c r="AZ61" s="101">
        <v>3.8709999999999999E-3</v>
      </c>
      <c r="BA61" s="101" t="s">
        <v>54</v>
      </c>
      <c r="BB61" s="95">
        <v>9.0200000000000002E-3</v>
      </c>
      <c r="BC61" s="95">
        <v>1.7520000000000001E-2</v>
      </c>
      <c r="BD61" s="95">
        <v>6.3783352224976901E-3</v>
      </c>
      <c r="BE61" s="95">
        <v>6.2413038548359322E-3</v>
      </c>
      <c r="BF61" s="95">
        <v>6.1047259890546169E-3</v>
      </c>
      <c r="BG61" s="101">
        <v>5.9667030630395027E-3</v>
      </c>
      <c r="BH61" s="95">
        <v>5.5630000000000002E-3</v>
      </c>
      <c r="BI61" s="101">
        <v>1.21E-2</v>
      </c>
      <c r="BJ61" s="95">
        <v>1.5499999999999999E-3</v>
      </c>
      <c r="BK61" s="95">
        <v>1.9949999999999998E-3</v>
      </c>
      <c r="BL61" s="95">
        <v>1.355E-2</v>
      </c>
      <c r="BM61" s="95">
        <v>9.8110000000000003E-3</v>
      </c>
      <c r="BN61" s="95">
        <v>1.0817E-2</v>
      </c>
      <c r="BO61" s="101">
        <v>3.7690000000000002E-3</v>
      </c>
      <c r="BP61" s="101">
        <v>6.1960000000000001E-3</v>
      </c>
      <c r="BQ61" s="101">
        <v>5.1029999999999999E-3</v>
      </c>
      <c r="BR61" s="101">
        <v>1.408E-3</v>
      </c>
      <c r="BS61" s="101">
        <v>2.5010000000000002E-3</v>
      </c>
      <c r="BT61" s="95">
        <v>7.0000000000000001E-3</v>
      </c>
      <c r="BU61" s="95">
        <v>7.1599999999999997E-3</v>
      </c>
      <c r="BV61" s="97">
        <v>4.9200000000000001E-2</v>
      </c>
      <c r="BW61" s="97">
        <v>7.0621161347231842E-2</v>
      </c>
      <c r="BX61" s="97">
        <v>0.09</v>
      </c>
      <c r="BY61" s="97">
        <v>6.2399999999999997E-2</v>
      </c>
      <c r="BZ61" s="96">
        <v>5.1200000000000002E-2</v>
      </c>
      <c r="CA61" s="97">
        <v>4.1000000000000002E-2</v>
      </c>
      <c r="CB61" s="97">
        <v>1.0633999999999999E-2</v>
      </c>
      <c r="CC61" s="97">
        <v>2.7687E-2</v>
      </c>
      <c r="CD61" s="97">
        <v>0.03</v>
      </c>
      <c r="CE61" s="97">
        <v>6.9999999999999994E-5</v>
      </c>
      <c r="CF61" s="97">
        <v>2.0969999999999999E-2</v>
      </c>
      <c r="CG61" s="96">
        <v>5.1200000000000002E-2</v>
      </c>
      <c r="CH61" s="96">
        <v>5.1200000000000002E-2</v>
      </c>
      <c r="CI61" s="95">
        <v>1.6570000000000001E-3</v>
      </c>
      <c r="CJ61" s="95">
        <v>1.25E-3</v>
      </c>
      <c r="CK61" s="101">
        <v>7.1500000000000001E-3</v>
      </c>
      <c r="CL61" s="96">
        <v>6.1800000000000001E-2</v>
      </c>
      <c r="CM61" s="101">
        <v>3.1099999999999999E-3</v>
      </c>
      <c r="CN61" s="101">
        <v>1.5299999999999999E-2</v>
      </c>
      <c r="CO61" s="95">
        <v>9.7999999999999997E-3</v>
      </c>
      <c r="CP61" s="95">
        <v>6.0099999999999997E-3</v>
      </c>
      <c r="CQ61" s="101">
        <v>3.0899999999999999E-3</v>
      </c>
      <c r="CR61" s="95">
        <v>6.4000000000000003E-3</v>
      </c>
      <c r="CS61" s="95">
        <v>5.4099999999999999E-3</v>
      </c>
      <c r="CT61" s="95">
        <v>4.7299999999999998E-3</v>
      </c>
      <c r="CU61" s="95">
        <v>3.15E-3</v>
      </c>
      <c r="CV61" s="95">
        <v>1.5299999999999999E-3</v>
      </c>
      <c r="CW61" s="95">
        <v>4.0099999999999997E-3</v>
      </c>
      <c r="CX61" s="95">
        <v>8.6999999999999994E-3</v>
      </c>
      <c r="CY61" s="104">
        <v>9.3800000000000008</v>
      </c>
      <c r="CZ61" s="104">
        <v>7.0739999999999998</v>
      </c>
      <c r="DA61" s="104">
        <v>8.4700000000000006</v>
      </c>
      <c r="DB61" s="104">
        <v>9.09</v>
      </c>
      <c r="DC61" s="104">
        <v>9.27</v>
      </c>
      <c r="DD61" s="104">
        <v>12.97</v>
      </c>
    </row>
    <row r="62" spans="1:108">
      <c r="A62" s="54">
        <v>50</v>
      </c>
      <c r="B62" s="95">
        <v>6.1000000000000004E-3</v>
      </c>
      <c r="C62" s="95">
        <v>1.3780000000000001E-2</v>
      </c>
      <c r="D62" s="96">
        <v>1.5380000000000001E-3</v>
      </c>
      <c r="E62" s="96">
        <v>2.9940000000000001E-3</v>
      </c>
      <c r="F62" s="95">
        <v>1.7099999999999999E-3</v>
      </c>
      <c r="G62" s="95">
        <v>3.3300000000000001E-3</v>
      </c>
      <c r="H62" s="95">
        <v>3.1089999999999998E-3</v>
      </c>
      <c r="I62" s="95">
        <v>6.5570000000000003E-3</v>
      </c>
      <c r="J62" s="95">
        <v>6.5570000000000003E-3</v>
      </c>
      <c r="K62" s="95">
        <v>4.5500000000000002E-3</v>
      </c>
      <c r="L62" s="95">
        <v>5.2900000000000004E-3</v>
      </c>
      <c r="M62" s="95">
        <v>2.0330000000000001E-3</v>
      </c>
      <c r="N62" s="95">
        <v>1.83E-3</v>
      </c>
      <c r="O62" s="95">
        <v>4.5180000000000003E-3</v>
      </c>
      <c r="P62" s="95">
        <v>4.0569999999999998E-3</v>
      </c>
      <c r="Q62" s="97">
        <v>1.9300000000000001E-3</v>
      </c>
      <c r="R62" s="97">
        <v>3.96E-3</v>
      </c>
      <c r="S62" s="97">
        <v>1.42E-3</v>
      </c>
      <c r="T62" s="97">
        <v>2.8999999999999998E-3</v>
      </c>
      <c r="U62" s="98">
        <v>2.2899000000000001E-3</v>
      </c>
      <c r="V62" s="99">
        <v>3.3904E-3</v>
      </c>
      <c r="W62" s="98">
        <v>1.4107E-3</v>
      </c>
      <c r="X62" s="99">
        <v>2.3873000000000002E-3</v>
      </c>
      <c r="Y62" s="100">
        <v>2.2907591999999999E-3</v>
      </c>
      <c r="Z62" s="100">
        <v>3.5646488E-3</v>
      </c>
      <c r="AA62" s="100">
        <v>1.5362853E-3</v>
      </c>
      <c r="AB62" s="100">
        <v>2.5803187000000001E-3</v>
      </c>
      <c r="AC62" s="95">
        <v>9.5200000000000007E-3</v>
      </c>
      <c r="AD62" s="95">
        <v>1.2319999999999999E-2</v>
      </c>
      <c r="AE62" s="95">
        <v>8.3199999999999993E-3</v>
      </c>
      <c r="AF62" s="95">
        <v>6.6540999999999996E-3</v>
      </c>
      <c r="AG62" s="95">
        <v>6.3600000000000002E-3</v>
      </c>
      <c r="AH62" s="95">
        <v>8.7133000000000002E-3</v>
      </c>
      <c r="AI62" s="95">
        <v>8.3199999999999993E-3</v>
      </c>
      <c r="AJ62" s="95">
        <v>4.9399999999999999E-3</v>
      </c>
      <c r="AK62" s="95">
        <v>6.7099999999999998E-3</v>
      </c>
      <c r="AL62" s="95">
        <v>6.7099999999999998E-3</v>
      </c>
      <c r="AM62" s="97">
        <v>8.6250000000000007E-3</v>
      </c>
      <c r="AN62" s="95">
        <v>2.1510000000000001E-3</v>
      </c>
      <c r="AO62" s="95">
        <v>5.2849999999999998E-3</v>
      </c>
      <c r="AP62" s="101">
        <v>1.647E-3</v>
      </c>
      <c r="AQ62" s="101">
        <v>1.83E-3</v>
      </c>
      <c r="AR62" s="101">
        <v>4.3429999999999996E-3</v>
      </c>
      <c r="AS62" s="101">
        <v>3.9090000000000001E-3</v>
      </c>
      <c r="AT62" s="101">
        <v>1.428E-3</v>
      </c>
      <c r="AU62" s="101">
        <v>2.5790000000000001E-3</v>
      </c>
      <c r="AV62" s="95">
        <v>1.8737999999999999E-3</v>
      </c>
      <c r="AW62" s="95">
        <v>6.8019999999999999E-3</v>
      </c>
      <c r="AX62" s="95">
        <v>6.0937999999999999E-3</v>
      </c>
      <c r="AY62" s="95">
        <v>4.3090000000000003E-3</v>
      </c>
      <c r="AZ62" s="101">
        <v>4.2180000000000004E-3</v>
      </c>
      <c r="BA62" s="101" t="s">
        <v>55</v>
      </c>
      <c r="BB62" s="95">
        <v>9.6900000000000007E-3</v>
      </c>
      <c r="BC62" s="95">
        <v>1.8450000000000001E-2</v>
      </c>
      <c r="BD62" s="95">
        <v>6.7814383913337118E-3</v>
      </c>
      <c r="BE62" s="95">
        <v>6.6332117512493717E-3</v>
      </c>
      <c r="BF62" s="95">
        <v>6.5010520655641862E-3</v>
      </c>
      <c r="BG62" s="101">
        <v>6.3594798371704436E-3</v>
      </c>
      <c r="BH62" s="95">
        <v>6.2189999999999997E-3</v>
      </c>
      <c r="BI62" s="101">
        <v>1.2749999999999999E-2</v>
      </c>
      <c r="BJ62" s="95">
        <v>1.676E-3</v>
      </c>
      <c r="BK62" s="95">
        <v>2.1380000000000001E-3</v>
      </c>
      <c r="BL62" s="95">
        <v>1.4722000000000001E-2</v>
      </c>
      <c r="BM62" s="95">
        <v>1.0763E-2</v>
      </c>
      <c r="BN62" s="95">
        <v>1.1809E-2</v>
      </c>
      <c r="BO62" s="101">
        <v>4.1799999999999997E-3</v>
      </c>
      <c r="BP62" s="101">
        <v>6.8529999999999997E-3</v>
      </c>
      <c r="BQ62" s="101">
        <v>5.6160000000000003E-3</v>
      </c>
      <c r="BR62" s="101">
        <v>1.536E-3</v>
      </c>
      <c r="BS62" s="101">
        <v>2.7729999999999999E-3</v>
      </c>
      <c r="BT62" s="95">
        <v>7.7400000000000004E-3</v>
      </c>
      <c r="BU62" s="95">
        <v>7.8399999999999997E-3</v>
      </c>
      <c r="BV62" s="97">
        <v>4.9000000000000002E-2</v>
      </c>
      <c r="BW62" s="97">
        <v>6.954812082969819E-2</v>
      </c>
      <c r="BX62" s="97">
        <v>9.0999999999999998E-2</v>
      </c>
      <c r="BY62" s="97">
        <v>6.1899999999999997E-2</v>
      </c>
      <c r="BZ62" s="96">
        <v>5.0999999999999997E-2</v>
      </c>
      <c r="CA62" s="97">
        <v>0.04</v>
      </c>
      <c r="CB62" s="97">
        <v>1.1535E-2</v>
      </c>
      <c r="CC62" s="97">
        <v>2.8975000000000001E-2</v>
      </c>
      <c r="CD62" s="97">
        <v>3.1E-2</v>
      </c>
      <c r="CE62" s="97">
        <v>8.0000000000000007E-5</v>
      </c>
      <c r="CF62" s="97">
        <v>2.1909999999999999E-2</v>
      </c>
      <c r="CG62" s="96">
        <v>5.0999999999999997E-2</v>
      </c>
      <c r="CH62" s="96">
        <v>5.0999999999999997E-2</v>
      </c>
      <c r="CI62" s="95">
        <v>1.823E-3</v>
      </c>
      <c r="CJ62" s="95">
        <v>1.3600000000000001E-3</v>
      </c>
      <c r="CK62" s="101">
        <v>7.6E-3</v>
      </c>
      <c r="CL62" s="96">
        <v>6.6799999999999998E-2</v>
      </c>
      <c r="CM62" s="101">
        <v>3.4399999999999999E-3</v>
      </c>
      <c r="CN62" s="101">
        <v>1.7000000000000001E-2</v>
      </c>
      <c r="CO62" s="95">
        <v>1.0500000000000001E-2</v>
      </c>
      <c r="CP62" s="95">
        <v>6.5500000000000003E-3</v>
      </c>
      <c r="CQ62" s="101">
        <v>3.47E-3</v>
      </c>
      <c r="CR62" s="95">
        <v>7.3000000000000001E-3</v>
      </c>
      <c r="CS62" s="95">
        <v>5.9699999999999996E-3</v>
      </c>
      <c r="CT62" s="95">
        <v>5.3499999999999997E-3</v>
      </c>
      <c r="CU62" s="95">
        <v>3.5699999999999998E-3</v>
      </c>
      <c r="CV62" s="95">
        <v>1.6800000000000001E-3</v>
      </c>
      <c r="CW62" s="95">
        <v>4.4799999999999996E-3</v>
      </c>
      <c r="CX62" s="95">
        <v>1.0120000000000001E-2</v>
      </c>
      <c r="CY62" s="104">
        <v>9.7650000000000006</v>
      </c>
      <c r="CZ62" s="104">
        <v>7.0949999999999998</v>
      </c>
      <c r="DA62" s="104">
        <v>8.6999999999999993</v>
      </c>
      <c r="DB62" s="104">
        <v>9.43</v>
      </c>
      <c r="DC62" s="104">
        <v>9.82</v>
      </c>
      <c r="DD62" s="104">
        <v>13.32</v>
      </c>
    </row>
    <row r="63" spans="1:108">
      <c r="A63" s="54">
        <v>51</v>
      </c>
      <c r="B63" s="95">
        <v>6.6299999999999996E-3</v>
      </c>
      <c r="C63" s="95">
        <v>1.4540000000000001E-2</v>
      </c>
      <c r="D63" s="96">
        <v>1.6949999999999999E-3</v>
      </c>
      <c r="E63" s="96">
        <v>3.2789999999999998E-3</v>
      </c>
      <c r="F63" s="95">
        <v>1.8879999999999999E-3</v>
      </c>
      <c r="G63" s="95">
        <v>3.6470000000000001E-3</v>
      </c>
      <c r="H63" s="95">
        <v>3.3609999999999998E-3</v>
      </c>
      <c r="I63" s="95">
        <v>7.2769999999999996E-3</v>
      </c>
      <c r="J63" s="95">
        <v>7.2769999999999996E-3</v>
      </c>
      <c r="K63" s="95">
        <v>4.9430000000000003E-3</v>
      </c>
      <c r="L63" s="95">
        <v>5.8799999999999998E-3</v>
      </c>
      <c r="M63" s="95">
        <v>2.2460000000000002E-3</v>
      </c>
      <c r="N63" s="95">
        <v>2.016E-3</v>
      </c>
      <c r="O63" s="95">
        <v>4.9379999999999997E-3</v>
      </c>
      <c r="P63" s="95">
        <v>4.431E-3</v>
      </c>
      <c r="Q63" s="97">
        <v>2.0899999999999998E-3</v>
      </c>
      <c r="R63" s="97">
        <v>4.2700000000000004E-3</v>
      </c>
      <c r="S63" s="97">
        <v>1.5499999999999999E-3</v>
      </c>
      <c r="T63" s="97">
        <v>3.13E-3</v>
      </c>
      <c r="U63" s="98">
        <v>2.4859999999999999E-3</v>
      </c>
      <c r="V63" s="99">
        <v>3.7726999999999999E-3</v>
      </c>
      <c r="W63" s="98">
        <v>1.5282E-3</v>
      </c>
      <c r="X63" s="99">
        <v>2.6229000000000001E-3</v>
      </c>
      <c r="Y63" s="100">
        <v>2.5058503000000001E-3</v>
      </c>
      <c r="Z63" s="100">
        <v>3.8958810999999999E-3</v>
      </c>
      <c r="AA63" s="100">
        <v>1.6854259E-3</v>
      </c>
      <c r="AB63" s="100">
        <v>2.8275296999999999E-3</v>
      </c>
      <c r="AC63" s="95">
        <v>1.04E-2</v>
      </c>
      <c r="AD63" s="95">
        <v>1.3270000000000001E-2</v>
      </c>
      <c r="AE63" s="95">
        <v>9.11E-3</v>
      </c>
      <c r="AF63" s="95">
        <v>7.2738999999999998E-3</v>
      </c>
      <c r="AG63" s="95">
        <v>6.9499999999999996E-3</v>
      </c>
      <c r="AH63" s="95">
        <v>9.5329999999999998E-3</v>
      </c>
      <c r="AI63" s="95">
        <v>9.11E-3</v>
      </c>
      <c r="AJ63" s="95">
        <v>5.47E-3</v>
      </c>
      <c r="AK63" s="95">
        <v>7.4200000000000004E-3</v>
      </c>
      <c r="AL63" s="95">
        <v>7.3000000000000001E-3</v>
      </c>
      <c r="AM63" s="97">
        <v>9.4830000000000001E-3</v>
      </c>
      <c r="AN63" s="95">
        <v>2.3240000000000001E-3</v>
      </c>
      <c r="AO63" s="95">
        <v>5.8669999999999998E-3</v>
      </c>
      <c r="AP63" s="101">
        <v>1.7930000000000001E-3</v>
      </c>
      <c r="AQ63" s="101">
        <v>1.9919999999999998E-3</v>
      </c>
      <c r="AR63" s="101">
        <v>4.8040000000000001E-3</v>
      </c>
      <c r="AS63" s="101">
        <v>4.3239999999999997E-3</v>
      </c>
      <c r="AT63" s="101">
        <v>1.5679999999999999E-3</v>
      </c>
      <c r="AU63" s="101">
        <v>2.872E-3</v>
      </c>
      <c r="AV63" s="95">
        <v>2.0531E-3</v>
      </c>
      <c r="AW63" s="95">
        <v>7.4720000000000003E-3</v>
      </c>
      <c r="AX63" s="95">
        <v>6.7055999999999999E-3</v>
      </c>
      <c r="AY63" s="95">
        <v>4.7610000000000005E-3</v>
      </c>
      <c r="AZ63" s="101">
        <v>4.5779999999999996E-3</v>
      </c>
      <c r="BA63" s="101" t="s">
        <v>56</v>
      </c>
      <c r="BB63" s="95">
        <v>1.043E-2</v>
      </c>
      <c r="BC63" s="95">
        <v>1.9470000000000001E-2</v>
      </c>
      <c r="BD63" s="95">
        <v>7.2280146424101186E-3</v>
      </c>
      <c r="BE63" s="95">
        <v>7.0642550771273099E-3</v>
      </c>
      <c r="BF63" s="95">
        <v>6.9400981688455907E-3</v>
      </c>
      <c r="BG63" s="101">
        <v>6.7941818100162961E-3</v>
      </c>
      <c r="BH63" s="95">
        <v>6.9170000000000004E-3</v>
      </c>
      <c r="BI63" s="101">
        <v>1.3469999999999999E-2</v>
      </c>
      <c r="BJ63" s="95">
        <v>1.8519999999999999E-3</v>
      </c>
      <c r="BK63" s="95">
        <v>2.4489999999999998E-3</v>
      </c>
      <c r="BL63" s="95">
        <v>1.6014E-2</v>
      </c>
      <c r="BM63" s="95">
        <v>1.1802999999999999E-2</v>
      </c>
      <c r="BN63" s="95">
        <v>1.2900999999999999E-2</v>
      </c>
      <c r="BO63" s="101">
        <v>4.6350000000000002E-3</v>
      </c>
      <c r="BP63" s="101">
        <v>7.5430000000000002E-3</v>
      </c>
      <c r="BQ63" s="101">
        <v>6.1960000000000001E-3</v>
      </c>
      <c r="BR63" s="101">
        <v>1.686E-3</v>
      </c>
      <c r="BS63" s="101">
        <v>3.088E-3</v>
      </c>
      <c r="BT63" s="95">
        <v>8.5199999999999998E-3</v>
      </c>
      <c r="BU63" s="95">
        <v>8.6E-3</v>
      </c>
      <c r="BV63" s="97">
        <v>4.8399999999999999E-2</v>
      </c>
      <c r="BW63" s="97">
        <v>6.8600274477615741E-2</v>
      </c>
      <c r="BX63" s="97">
        <v>9.1999999999999998E-2</v>
      </c>
      <c r="BY63" s="97">
        <v>6.1600000000000002E-2</v>
      </c>
      <c r="BZ63" s="96">
        <v>5.0299999999999997E-2</v>
      </c>
      <c r="CA63" s="97">
        <v>3.9E-2</v>
      </c>
      <c r="CB63" s="97">
        <v>1.2477E-2</v>
      </c>
      <c r="CC63" s="97">
        <v>3.0268E-2</v>
      </c>
      <c r="CD63" s="97">
        <v>3.3000000000000002E-2</v>
      </c>
      <c r="CE63" s="97">
        <v>9.0000000000000006E-5</v>
      </c>
      <c r="CF63" s="97">
        <v>2.29E-2</v>
      </c>
      <c r="CG63" s="96">
        <v>5.0299999999999997E-2</v>
      </c>
      <c r="CH63" s="96">
        <v>5.0299999999999997E-2</v>
      </c>
      <c r="CI63" s="95">
        <v>2.0140000000000002E-3</v>
      </c>
      <c r="CJ63" s="95">
        <v>1.48E-3</v>
      </c>
      <c r="CK63" s="101">
        <v>8.09E-3</v>
      </c>
      <c r="CL63" s="96">
        <v>7.0999999999999994E-2</v>
      </c>
      <c r="CM63" s="101">
        <v>3.8400000000000001E-3</v>
      </c>
      <c r="CN63" s="101">
        <v>1.8800000000000001E-2</v>
      </c>
      <c r="CO63" s="95">
        <v>1.1310000000000001E-2</v>
      </c>
      <c r="CP63" s="95">
        <v>7.1599999999999997E-3</v>
      </c>
      <c r="CQ63" s="101">
        <v>3.9500000000000004E-3</v>
      </c>
      <c r="CR63" s="95">
        <v>8.3000000000000001E-3</v>
      </c>
      <c r="CS63" s="95">
        <v>6.5900000000000004E-3</v>
      </c>
      <c r="CT63" s="95">
        <v>6.0800000000000003E-3</v>
      </c>
      <c r="CU63" s="95">
        <v>4.0499999999999998E-3</v>
      </c>
      <c r="CV63" s="95">
        <v>1.8400000000000001E-3</v>
      </c>
      <c r="CW63" s="95">
        <v>5.0200000000000002E-3</v>
      </c>
      <c r="CX63" s="95">
        <v>1.1010000000000001E-2</v>
      </c>
      <c r="CY63" s="104">
        <v>10.113</v>
      </c>
      <c r="CZ63" s="104">
        <v>7.12</v>
      </c>
      <c r="DA63" s="104">
        <v>9.15</v>
      </c>
      <c r="DB63" s="104">
        <v>9.7899999999999991</v>
      </c>
      <c r="DC63" s="104">
        <v>10.41</v>
      </c>
      <c r="DD63" s="104">
        <v>13.69</v>
      </c>
    </row>
    <row r="64" spans="1:108">
      <c r="A64" s="54">
        <v>52</v>
      </c>
      <c r="B64" s="95">
        <v>7.1700000000000002E-3</v>
      </c>
      <c r="C64" s="95">
        <v>1.5390000000000001E-2</v>
      </c>
      <c r="D64" s="96">
        <v>1.864E-3</v>
      </c>
      <c r="E64" s="96">
        <v>3.5760000000000002E-3</v>
      </c>
      <c r="F64" s="95">
        <v>2.0790000000000001E-3</v>
      </c>
      <c r="G64" s="95">
        <v>3.98E-3</v>
      </c>
      <c r="H64" s="95">
        <v>3.6419999999999998E-3</v>
      </c>
      <c r="I64" s="95">
        <v>8.038E-3</v>
      </c>
      <c r="J64" s="95">
        <v>8.038E-3</v>
      </c>
      <c r="K64" s="95">
        <v>5.378E-3</v>
      </c>
      <c r="L64" s="95">
        <v>6.4599999999999996E-3</v>
      </c>
      <c r="M64" s="95">
        <v>2.4740000000000001E-3</v>
      </c>
      <c r="N64" s="95">
        <v>2.215E-3</v>
      </c>
      <c r="O64" s="95">
        <v>5.3699999999999998E-3</v>
      </c>
      <c r="P64" s="95">
        <v>4.8120000000000003E-3</v>
      </c>
      <c r="Q64" s="97">
        <v>2.2799999999999999E-3</v>
      </c>
      <c r="R64" s="97">
        <v>4.62E-3</v>
      </c>
      <c r="S64" s="97">
        <v>1.6900000000000001E-3</v>
      </c>
      <c r="T64" s="97">
        <v>3.3899999999999998E-3</v>
      </c>
      <c r="U64" s="98">
        <v>2.6687999999999998E-3</v>
      </c>
      <c r="V64" s="99">
        <v>4.2050999999999998E-3</v>
      </c>
      <c r="W64" s="98">
        <v>1.6306000000000001E-3</v>
      </c>
      <c r="X64" s="99">
        <v>2.9034E-3</v>
      </c>
      <c r="Y64" s="100">
        <v>2.7417308999999998E-3</v>
      </c>
      <c r="Z64" s="100">
        <v>4.2598150000000001E-3</v>
      </c>
      <c r="AA64" s="100">
        <v>1.8494978999999999E-3</v>
      </c>
      <c r="AB64" s="100">
        <v>3.0996543E-3</v>
      </c>
      <c r="AC64" s="95">
        <v>1.137E-2</v>
      </c>
      <c r="AD64" s="95">
        <v>1.43E-2</v>
      </c>
      <c r="AE64" s="95">
        <v>9.9600000000000001E-3</v>
      </c>
      <c r="AF64" s="95">
        <v>7.9585999999999997E-3</v>
      </c>
      <c r="AG64" s="95">
        <v>7.6E-3</v>
      </c>
      <c r="AH64" s="95">
        <v>1.04227E-2</v>
      </c>
      <c r="AI64" s="95">
        <v>9.9600000000000001E-3</v>
      </c>
      <c r="AJ64" s="95">
        <v>6.0600000000000003E-3</v>
      </c>
      <c r="AK64" s="95">
        <v>8.1899999999999994E-3</v>
      </c>
      <c r="AL64" s="95">
        <v>7.9600000000000001E-3</v>
      </c>
      <c r="AM64" s="97">
        <v>1.0428E-2</v>
      </c>
      <c r="AN64" s="95">
        <v>2.5200000000000001E-3</v>
      </c>
      <c r="AO64" s="95">
        <v>6.4799999999999996E-3</v>
      </c>
      <c r="AP64" s="101">
        <v>1.949E-3</v>
      </c>
      <c r="AQ64" s="101">
        <v>2.1649999999999998E-3</v>
      </c>
      <c r="AR64" s="101">
        <v>5.2830000000000004E-3</v>
      </c>
      <c r="AS64" s="101">
        <v>4.7549999999999997E-3</v>
      </c>
      <c r="AT64" s="101">
        <v>1.7340000000000001E-3</v>
      </c>
      <c r="AU64" s="101">
        <v>3.2130000000000001E-3</v>
      </c>
      <c r="AV64" s="95">
        <v>2.2648999999999998E-3</v>
      </c>
      <c r="AW64" s="95">
        <v>8.2100000000000003E-3</v>
      </c>
      <c r="AX64" s="95">
        <v>7.3822000000000002E-3</v>
      </c>
      <c r="AY64" s="95">
        <v>5.2659999999999998E-3</v>
      </c>
      <c r="AZ64" s="101">
        <v>4.9579999999999997E-3</v>
      </c>
      <c r="BA64" s="101" t="s">
        <v>57</v>
      </c>
      <c r="BB64" s="95">
        <v>1.125E-2</v>
      </c>
      <c r="BC64" s="95">
        <v>2.061E-2</v>
      </c>
      <c r="BD64" s="95">
        <v>7.7379646289630162E-3</v>
      </c>
      <c r="BE64" s="95">
        <v>7.5703628076555264E-3</v>
      </c>
      <c r="BF64" s="95">
        <v>7.4405848364735901E-3</v>
      </c>
      <c r="BG64" s="101">
        <v>7.2893136739454701E-3</v>
      </c>
      <c r="BH64" s="95">
        <v>7.6579999999999999E-3</v>
      </c>
      <c r="BI64" s="101">
        <v>1.427E-2</v>
      </c>
      <c r="BJ64" s="95">
        <v>2.0179999999999998E-3</v>
      </c>
      <c r="BK64" s="95">
        <v>2.6670000000000001E-3</v>
      </c>
      <c r="BL64" s="95">
        <v>1.7439E-2</v>
      </c>
      <c r="BM64" s="95">
        <v>1.2947999999999999E-2</v>
      </c>
      <c r="BN64" s="95">
        <v>1.4201E-2</v>
      </c>
      <c r="BO64" s="101">
        <v>5.1029999999999999E-3</v>
      </c>
      <c r="BP64" s="101">
        <v>8.2780000000000006E-3</v>
      </c>
      <c r="BQ64" s="101">
        <v>6.8529999999999997E-3</v>
      </c>
      <c r="BR64" s="101">
        <v>1.864E-3</v>
      </c>
      <c r="BS64" s="101">
        <v>3.4550000000000002E-3</v>
      </c>
      <c r="BT64" s="95">
        <v>9.2899999999999996E-3</v>
      </c>
      <c r="BU64" s="95">
        <v>9.4400000000000005E-3</v>
      </c>
      <c r="BV64" s="97">
        <v>4.8300000000000003E-2</v>
      </c>
      <c r="BW64" s="97">
        <v>6.7780628380976649E-2</v>
      </c>
      <c r="BX64" s="97">
        <v>9.4E-2</v>
      </c>
      <c r="BY64" s="97">
        <v>6.13E-2</v>
      </c>
      <c r="BZ64" s="96">
        <v>4.9599999999999998E-2</v>
      </c>
      <c r="CA64" s="97">
        <v>3.7999999999999999E-2</v>
      </c>
      <c r="CB64" s="97">
        <v>1.3455999999999999E-2</v>
      </c>
      <c r="CC64" s="97">
        <v>3.1563000000000001E-2</v>
      </c>
      <c r="CD64" s="97">
        <v>3.5000000000000003E-2</v>
      </c>
      <c r="CE64" s="97">
        <v>9.0000000000000006E-5</v>
      </c>
      <c r="CF64" s="97">
        <v>2.3949999999999999E-2</v>
      </c>
      <c r="CG64" s="96">
        <v>4.9599999999999998E-2</v>
      </c>
      <c r="CH64" s="96">
        <v>4.9599999999999998E-2</v>
      </c>
      <c r="CI64" s="95">
        <v>2.2309999999999999E-3</v>
      </c>
      <c r="CJ64" s="95">
        <v>1.6100000000000001E-3</v>
      </c>
      <c r="CK64" s="101">
        <v>8.6199999999999992E-3</v>
      </c>
      <c r="CL64" s="96">
        <v>7.5399999999999995E-2</v>
      </c>
      <c r="CM64" s="101">
        <v>4.3E-3</v>
      </c>
      <c r="CN64" s="101">
        <v>2.0799999999999999E-2</v>
      </c>
      <c r="CO64" s="95">
        <v>1.218E-2</v>
      </c>
      <c r="CP64" s="95">
        <v>7.8399999999999997E-3</v>
      </c>
      <c r="CQ64" s="101">
        <v>4.5399999999999998E-3</v>
      </c>
      <c r="CR64" s="95">
        <v>9.4000000000000004E-3</v>
      </c>
      <c r="CS64" s="95">
        <v>7.2500000000000004E-3</v>
      </c>
      <c r="CT64" s="95">
        <v>6.94E-3</v>
      </c>
      <c r="CU64" s="95">
        <v>4.6299999999999996E-3</v>
      </c>
      <c r="CV64" s="95">
        <v>2.0300000000000001E-3</v>
      </c>
      <c r="CW64" s="95">
        <v>5.6800000000000002E-3</v>
      </c>
      <c r="CX64" s="95">
        <v>1.213E-2</v>
      </c>
      <c r="CY64" s="104">
        <v>10.548999999999999</v>
      </c>
      <c r="CZ64" s="104">
        <v>7.1470000000000002</v>
      </c>
      <c r="DA64" s="104">
        <v>9.6</v>
      </c>
      <c r="DB64" s="104">
        <v>10.16</v>
      </c>
      <c r="DC64" s="104">
        <v>11.02</v>
      </c>
      <c r="DD64" s="104">
        <v>14.06</v>
      </c>
    </row>
    <row r="65" spans="1:108">
      <c r="A65" s="54">
        <v>53</v>
      </c>
      <c r="B65" s="95">
        <v>7.7299999999999999E-3</v>
      </c>
      <c r="C65" s="95">
        <v>1.6329999999999997E-2</v>
      </c>
      <c r="D65" s="96">
        <v>2.0470000000000002E-3</v>
      </c>
      <c r="E65" s="96">
        <v>3.8839999999999999E-3</v>
      </c>
      <c r="F65" s="95">
        <v>2.2859999999999998E-3</v>
      </c>
      <c r="G65" s="95">
        <v>4.3309999999999998E-3</v>
      </c>
      <c r="H65" s="95">
        <v>3.9569999999999996E-3</v>
      </c>
      <c r="I65" s="95">
        <v>8.8400000000000006E-3</v>
      </c>
      <c r="J65" s="95">
        <v>8.8400000000000006E-3</v>
      </c>
      <c r="K65" s="95">
        <v>5.868E-3</v>
      </c>
      <c r="L65" s="95">
        <v>7.0899999999999999E-3</v>
      </c>
      <c r="M65" s="95">
        <v>2.7160000000000001E-3</v>
      </c>
      <c r="N65" s="95">
        <v>2.4260000000000002E-3</v>
      </c>
      <c r="O65" s="95">
        <v>5.8110000000000002E-3</v>
      </c>
      <c r="P65" s="95">
        <v>5.1980000000000004E-3</v>
      </c>
      <c r="Q65" s="97">
        <v>2.48E-3</v>
      </c>
      <c r="R65" s="97">
        <v>4.9899999999999996E-3</v>
      </c>
      <c r="S65" s="97">
        <v>1.8500000000000001E-3</v>
      </c>
      <c r="T65" s="97">
        <v>3.6700000000000001E-3</v>
      </c>
      <c r="U65" s="98">
        <v>2.8666999999999998E-3</v>
      </c>
      <c r="V65" s="99">
        <v>4.6575000000000002E-3</v>
      </c>
      <c r="W65" s="98">
        <v>1.7600999999999999E-3</v>
      </c>
      <c r="X65" s="99">
        <v>3.2171999999999999E-3</v>
      </c>
      <c r="Y65" s="100">
        <v>3.0007045E-3</v>
      </c>
      <c r="Z65" s="100">
        <v>4.6592218999999997E-3</v>
      </c>
      <c r="AA65" s="100">
        <v>2.0305344999999998E-3</v>
      </c>
      <c r="AB65" s="100">
        <v>3.3995824000000001E-3</v>
      </c>
      <c r="AC65" s="95">
        <v>1.244E-2</v>
      </c>
      <c r="AD65" s="95">
        <v>1.5429999999999999E-2</v>
      </c>
      <c r="AE65" s="95">
        <v>1.089E-2</v>
      </c>
      <c r="AF65" s="95">
        <v>8.7133000000000002E-3</v>
      </c>
      <c r="AG65" s="95">
        <v>8.3199999999999993E-3</v>
      </c>
      <c r="AH65" s="95">
        <v>1.13922E-2</v>
      </c>
      <c r="AI65" s="95">
        <v>1.089E-2</v>
      </c>
      <c r="AJ65" s="95">
        <v>6.7099999999999998E-3</v>
      </c>
      <c r="AK65" s="95">
        <v>9.0299999999999998E-3</v>
      </c>
      <c r="AL65" s="95">
        <v>8.7100000000000007E-3</v>
      </c>
      <c r="AM65" s="97">
        <v>1.146E-2</v>
      </c>
      <c r="AN65" s="95">
        <v>2.738E-3</v>
      </c>
      <c r="AO65" s="95">
        <v>7.1269999999999997E-3</v>
      </c>
      <c r="AP65" s="101">
        <v>2.1199999999999999E-3</v>
      </c>
      <c r="AQ65" s="101">
        <v>2.3549999999999999E-3</v>
      </c>
      <c r="AR65" s="101">
        <v>5.7780000000000001E-3</v>
      </c>
      <c r="AS65" s="101">
        <v>5.1999999999999998E-3</v>
      </c>
      <c r="AT65" s="101">
        <v>1.9070000000000001E-3</v>
      </c>
      <c r="AU65" s="101">
        <v>3.5839999999999999E-3</v>
      </c>
      <c r="AV65" s="95">
        <v>2.5056000000000002E-3</v>
      </c>
      <c r="AW65" s="95">
        <v>9.0220000000000005E-3</v>
      </c>
      <c r="AX65" s="95">
        <v>8.1303999999999994E-3</v>
      </c>
      <c r="AY65" s="95">
        <v>5.8269999999999997E-3</v>
      </c>
      <c r="AZ65" s="101">
        <v>5.3629999999999997E-3</v>
      </c>
      <c r="BA65" s="101" t="s">
        <v>58</v>
      </c>
      <c r="BB65" s="95">
        <v>1.2160000000000001E-2</v>
      </c>
      <c r="BC65" s="95">
        <v>2.1860000000000001E-2</v>
      </c>
      <c r="BD65" s="95">
        <v>8.3261597420645397E-3</v>
      </c>
      <c r="BE65" s="95">
        <v>8.1560811582739919E-3</v>
      </c>
      <c r="BF65" s="95">
        <v>8.0164616231996437E-3</v>
      </c>
      <c r="BG65" s="101">
        <v>7.8583267314083736E-3</v>
      </c>
      <c r="BH65" s="95">
        <v>8.4390000000000003E-3</v>
      </c>
      <c r="BI65" s="101">
        <v>1.512E-2</v>
      </c>
      <c r="BJ65" s="95">
        <v>2.2070000000000002E-3</v>
      </c>
      <c r="BK65" s="95">
        <v>2.9160000000000002E-3</v>
      </c>
      <c r="BL65" s="95">
        <v>1.9009999999999999E-2</v>
      </c>
      <c r="BM65" s="95">
        <v>1.4194999999999999E-2</v>
      </c>
      <c r="BN65" s="95">
        <v>1.5424999999999999E-2</v>
      </c>
      <c r="BO65" s="101">
        <v>5.6160000000000003E-3</v>
      </c>
      <c r="BP65" s="101">
        <v>9.0329999999999994E-3</v>
      </c>
      <c r="BQ65" s="101">
        <v>7.5430000000000002E-3</v>
      </c>
      <c r="BR65" s="101">
        <v>2.0509999999999999E-3</v>
      </c>
      <c r="BS65" s="101">
        <v>3.8539999999999998E-3</v>
      </c>
      <c r="BT65" s="95">
        <v>1.005E-2</v>
      </c>
      <c r="BU65" s="95">
        <v>1.0370000000000001E-2</v>
      </c>
      <c r="BV65" s="97">
        <v>4.7399999999999998E-2</v>
      </c>
      <c r="BW65" s="97">
        <v>6.7092500455324E-2</v>
      </c>
      <c r="BX65" s="97">
        <v>9.6000000000000002E-2</v>
      </c>
      <c r="BY65" s="97">
        <v>6.1100000000000002E-2</v>
      </c>
      <c r="BZ65" s="96">
        <v>4.6399999999999997E-2</v>
      </c>
      <c r="CA65" s="97">
        <v>3.6999999999999998E-2</v>
      </c>
      <c r="CB65" s="97">
        <v>1.4465E-2</v>
      </c>
      <c r="CC65" s="97">
        <v>3.2858999999999999E-2</v>
      </c>
      <c r="CD65" s="97">
        <v>3.9E-2</v>
      </c>
      <c r="CE65" s="97">
        <v>1.1E-4</v>
      </c>
      <c r="CF65" s="97">
        <v>2.5059999999999999E-2</v>
      </c>
      <c r="CG65" s="96">
        <v>4.8599999999999997E-2</v>
      </c>
      <c r="CH65" s="96">
        <v>4.8599999999999997E-2</v>
      </c>
      <c r="CI65" s="95">
        <v>2.4789999999999999E-3</v>
      </c>
      <c r="CJ65" s="95">
        <v>1.75E-3</v>
      </c>
      <c r="CK65" s="101">
        <v>9.2099999999999994E-3</v>
      </c>
      <c r="CL65" s="96">
        <v>7.8100000000000003E-2</v>
      </c>
      <c r="CM65" s="101">
        <v>4.8399999999999997E-3</v>
      </c>
      <c r="CN65" s="101">
        <v>2.3099999999999999E-2</v>
      </c>
      <c r="CO65" s="95">
        <v>1.307E-2</v>
      </c>
      <c r="CP65" s="95">
        <v>8.5800000000000008E-3</v>
      </c>
      <c r="CQ65" s="101">
        <v>5.2500000000000003E-3</v>
      </c>
      <c r="CR65" s="95">
        <v>1.0800000000000001E-2</v>
      </c>
      <c r="CS65" s="95">
        <v>7.9699999999999997E-3</v>
      </c>
      <c r="CT65" s="95">
        <v>7.8399999999999997E-3</v>
      </c>
      <c r="CU65" s="95">
        <v>5.2300000000000003E-3</v>
      </c>
      <c r="CV65" s="95">
        <v>2.2499999999999998E-3</v>
      </c>
      <c r="CW65" s="95">
        <v>6.4799999999999996E-3</v>
      </c>
      <c r="CX65" s="95">
        <v>1.3310000000000001E-2</v>
      </c>
      <c r="CY65" s="104">
        <v>10.976000000000001</v>
      </c>
      <c r="CZ65" s="104">
        <v>7.1779999999999999</v>
      </c>
      <c r="DA65" s="104">
        <v>10.1</v>
      </c>
      <c r="DB65" s="104">
        <v>10.55</v>
      </c>
      <c r="DC65" s="104">
        <v>11.65</v>
      </c>
      <c r="DD65" s="104">
        <v>14.45</v>
      </c>
    </row>
    <row r="66" spans="1:108">
      <c r="A66" s="54">
        <v>54</v>
      </c>
      <c r="B66" s="95">
        <v>8.3700000000000007E-3</v>
      </c>
      <c r="C66" s="95">
        <v>1.7399999999999999E-2</v>
      </c>
      <c r="D66" s="96">
        <v>2.2439999999999999E-3</v>
      </c>
      <c r="E66" s="96">
        <v>4.2030000000000001E-3</v>
      </c>
      <c r="F66" s="95">
        <v>2.5070000000000001E-3</v>
      </c>
      <c r="G66" s="95">
        <v>4.6979999999999999E-3</v>
      </c>
      <c r="H66" s="95">
        <v>4.3099999999999996E-3</v>
      </c>
      <c r="I66" s="95">
        <v>9.6819999999999996E-3</v>
      </c>
      <c r="J66" s="95">
        <v>9.6819999999999996E-3</v>
      </c>
      <c r="K66" s="95">
        <v>6.4279999999999997E-3</v>
      </c>
      <c r="L66" s="95">
        <v>7.7400000000000004E-3</v>
      </c>
      <c r="M66" s="95">
        <v>2.9710000000000001E-3</v>
      </c>
      <c r="N66" s="95">
        <v>2.65E-3</v>
      </c>
      <c r="O66" s="95">
        <v>6.2599999999999999E-3</v>
      </c>
      <c r="P66" s="95">
        <v>5.5909999999999996E-3</v>
      </c>
      <c r="Q66" s="97">
        <v>2.7000000000000001E-3</v>
      </c>
      <c r="R66" s="97">
        <v>5.4099999999999999E-3</v>
      </c>
      <c r="S66" s="97">
        <v>2.0300000000000001E-3</v>
      </c>
      <c r="T66" s="97">
        <v>3.98E-3</v>
      </c>
      <c r="U66" s="98">
        <v>3.0948E-3</v>
      </c>
      <c r="V66" s="99">
        <v>5.0194000000000003E-3</v>
      </c>
      <c r="W66" s="98">
        <v>1.9246000000000001E-3</v>
      </c>
      <c r="X66" s="99">
        <v>3.5536000000000001E-3</v>
      </c>
      <c r="Y66" s="100">
        <v>3.2849944E-3</v>
      </c>
      <c r="Z66" s="100">
        <v>5.0975229999999996E-3</v>
      </c>
      <c r="AA66" s="100">
        <v>2.2300397999999999E-3</v>
      </c>
      <c r="AB66" s="100">
        <v>3.7294609999999999E-3</v>
      </c>
      <c r="AC66" s="95">
        <v>1.3610000000000001E-2</v>
      </c>
      <c r="AD66" s="95">
        <v>1.6650000000000002E-2</v>
      </c>
      <c r="AE66" s="95">
        <v>1.1900000000000001E-2</v>
      </c>
      <c r="AF66" s="95">
        <v>9.5329999999999998E-3</v>
      </c>
      <c r="AG66" s="95">
        <v>9.11E-3</v>
      </c>
      <c r="AH66" s="95">
        <v>1.24467E-2</v>
      </c>
      <c r="AI66" s="95">
        <v>1.1900000000000001E-2</v>
      </c>
      <c r="AJ66" s="95">
        <v>7.4200000000000004E-3</v>
      </c>
      <c r="AK66" s="95">
        <v>9.9399999999999992E-3</v>
      </c>
      <c r="AL66" s="95">
        <v>9.5600000000000008E-3</v>
      </c>
      <c r="AM66" s="97">
        <v>1.259E-2</v>
      </c>
      <c r="AN66" s="95">
        <v>2.9819999999999998E-3</v>
      </c>
      <c r="AO66" s="95">
        <v>7.8059999999999996E-3</v>
      </c>
      <c r="AP66" s="101">
        <v>2.3149999999999998E-3</v>
      </c>
      <c r="AQ66" s="101">
        <v>2.5720000000000001E-3</v>
      </c>
      <c r="AR66" s="101">
        <v>6.2890000000000003E-3</v>
      </c>
      <c r="AS66" s="101">
        <v>5.6600000000000001E-3</v>
      </c>
      <c r="AT66" s="101">
        <v>2.0839999999999999E-3</v>
      </c>
      <c r="AU66" s="101">
        <v>3.9789999999999999E-3</v>
      </c>
      <c r="AV66" s="95">
        <v>2.7701000000000002E-3</v>
      </c>
      <c r="AW66" s="95">
        <v>9.9150000000000002E-3</v>
      </c>
      <c r="AX66" s="95">
        <v>8.9575999999999996E-3</v>
      </c>
      <c r="AY66" s="95">
        <v>6.4470000000000005E-3</v>
      </c>
      <c r="AZ66" s="101">
        <v>5.7980000000000002E-3</v>
      </c>
      <c r="BA66" s="101" t="s">
        <v>59</v>
      </c>
      <c r="BB66" s="95">
        <v>1.319E-2</v>
      </c>
      <c r="BC66" s="95">
        <v>2.325E-2</v>
      </c>
      <c r="BD66" s="95">
        <v>8.9851376200780538E-3</v>
      </c>
      <c r="BE66" s="95">
        <v>8.8133825192020683E-3</v>
      </c>
      <c r="BF66" s="95">
        <v>8.6607828753869475E-3</v>
      </c>
      <c r="BG66" s="101">
        <v>8.4945173620224624E-3</v>
      </c>
      <c r="BH66" s="95">
        <v>9.2610000000000001E-3</v>
      </c>
      <c r="BI66" s="101">
        <v>1.6070000000000001E-2</v>
      </c>
      <c r="BJ66" s="95">
        <v>2.4239999999999999E-3</v>
      </c>
      <c r="BK66" s="95">
        <v>3.1960000000000001E-3</v>
      </c>
      <c r="BL66" s="95">
        <v>2.0743000000000001E-2</v>
      </c>
      <c r="BM66" s="95">
        <v>1.5557E-2</v>
      </c>
      <c r="BN66" s="95">
        <v>1.6881E-2</v>
      </c>
      <c r="BO66" s="101">
        <v>6.1960000000000001E-3</v>
      </c>
      <c r="BP66" s="101">
        <v>9.8750000000000001E-3</v>
      </c>
      <c r="BQ66" s="101">
        <v>8.2780000000000006E-3</v>
      </c>
      <c r="BR66" s="101">
        <v>2.2409999999999999E-3</v>
      </c>
      <c r="BS66" s="101">
        <v>4.2779999999999997E-3</v>
      </c>
      <c r="BT66" s="95">
        <v>1.082E-2</v>
      </c>
      <c r="BU66" s="95">
        <v>1.141E-2</v>
      </c>
      <c r="BV66" s="97">
        <v>4.7100000000000003E-2</v>
      </c>
      <c r="BW66" s="97">
        <v>6.6539536363065865E-2</v>
      </c>
      <c r="BX66" s="97">
        <v>9.9000000000000005E-2</v>
      </c>
      <c r="BY66" s="97">
        <v>6.0900000000000003E-2</v>
      </c>
      <c r="BZ66" s="96">
        <v>4.5499999999999999E-2</v>
      </c>
      <c r="CA66" s="97">
        <v>3.5999999999999997E-2</v>
      </c>
      <c r="CB66" s="97">
        <v>1.5497E-2</v>
      </c>
      <c r="CC66" s="97">
        <v>3.4152000000000002E-2</v>
      </c>
      <c r="CD66" s="97">
        <v>4.3999999999999997E-2</v>
      </c>
      <c r="CE66" s="97">
        <v>1.2999999999999999E-4</v>
      </c>
      <c r="CF66" s="97">
        <v>2.6239999999999999E-2</v>
      </c>
      <c r="CG66" s="96">
        <v>4.8500000000000001E-2</v>
      </c>
      <c r="CH66" s="96">
        <v>4.8500000000000001E-2</v>
      </c>
      <c r="CI66" s="95">
        <v>2.7620000000000001E-3</v>
      </c>
      <c r="CJ66" s="95">
        <v>1.91E-3</v>
      </c>
      <c r="CK66" s="101">
        <v>9.8600000000000007E-3</v>
      </c>
      <c r="CL66" s="96">
        <v>8.0699999999999994E-2</v>
      </c>
      <c r="CM66" s="101">
        <v>5.4900000000000001E-3</v>
      </c>
      <c r="CN66" s="101">
        <v>2.5700000000000001E-2</v>
      </c>
      <c r="CO66" s="95">
        <v>1.4E-2</v>
      </c>
      <c r="CP66" s="95">
        <v>9.3699999999999999E-3</v>
      </c>
      <c r="CQ66" s="101">
        <v>6.11E-3</v>
      </c>
      <c r="CR66" s="95">
        <v>1.24E-2</v>
      </c>
      <c r="CS66" s="95">
        <v>8.7799999999999996E-3</v>
      </c>
      <c r="CT66" s="95">
        <v>8.8900000000000003E-3</v>
      </c>
      <c r="CU66" s="95">
        <v>5.9300000000000004E-3</v>
      </c>
      <c r="CV66" s="95">
        <v>2.5000000000000001E-3</v>
      </c>
      <c r="CW66" s="95">
        <v>7.4400000000000004E-3</v>
      </c>
      <c r="CX66" s="95">
        <v>1.4540000000000001E-2</v>
      </c>
      <c r="CY66" s="104">
        <v>11.473000000000001</v>
      </c>
      <c r="CZ66" s="104">
        <v>7.2119999999999997</v>
      </c>
      <c r="DA66" s="104">
        <v>10.77</v>
      </c>
      <c r="DB66" s="104">
        <v>10.95</v>
      </c>
      <c r="DC66" s="104">
        <v>12.28</v>
      </c>
      <c r="DD66" s="104">
        <v>14.84</v>
      </c>
    </row>
    <row r="67" spans="1:108">
      <c r="A67" s="54">
        <v>55</v>
      </c>
      <c r="B67" s="95">
        <v>9.11E-3</v>
      </c>
      <c r="C67" s="95">
        <v>1.857E-2</v>
      </c>
      <c r="D67" s="96">
        <v>2.457E-3</v>
      </c>
      <c r="E67" s="96">
        <v>4.5339999999999998E-3</v>
      </c>
      <c r="F67" s="95">
        <v>2.7460000000000002E-3</v>
      </c>
      <c r="G67" s="95">
        <v>5.0769999999999999E-3</v>
      </c>
      <c r="H67" s="95">
        <v>4.705E-3</v>
      </c>
      <c r="I67" s="95">
        <v>1.0565E-2</v>
      </c>
      <c r="J67" s="95">
        <v>1.0565E-2</v>
      </c>
      <c r="K67" s="95">
        <v>7.0730000000000003E-3</v>
      </c>
      <c r="L67" s="95">
        <v>8.4200000000000004E-3</v>
      </c>
      <c r="M67" s="95">
        <v>3.2420000000000001E-3</v>
      </c>
      <c r="N67" s="95">
        <v>2.8909999999999999E-3</v>
      </c>
      <c r="O67" s="95">
        <v>6.718E-3</v>
      </c>
      <c r="P67" s="95">
        <v>5.9940000000000002E-3</v>
      </c>
      <c r="Q67" s="97">
        <v>2.9399999999999999E-3</v>
      </c>
      <c r="R67" s="97">
        <v>5.8599999999999998E-3</v>
      </c>
      <c r="S67" s="97">
        <v>2.2300000000000002E-3</v>
      </c>
      <c r="T67" s="97">
        <v>4.3099999999999996E-3</v>
      </c>
      <c r="U67" s="98">
        <v>3.3760999999999999E-3</v>
      </c>
      <c r="V67" s="99">
        <v>5.5151999999999996E-3</v>
      </c>
      <c r="W67" s="98">
        <v>2.1113E-3</v>
      </c>
      <c r="X67" s="99">
        <v>3.9069999999999999E-3</v>
      </c>
      <c r="Y67" s="100">
        <v>3.5968481000000002E-3</v>
      </c>
      <c r="Z67" s="100">
        <v>5.5782955999999998E-3</v>
      </c>
      <c r="AA67" s="100">
        <v>2.4493874000000001E-3</v>
      </c>
      <c r="AB67" s="100">
        <v>4.0923343999999997E-3</v>
      </c>
      <c r="AC67" s="95">
        <v>1.4880000000000001E-2</v>
      </c>
      <c r="AD67" s="95">
        <v>1.7979999999999999E-2</v>
      </c>
      <c r="AE67" s="95">
        <v>1.2999999999999999E-2</v>
      </c>
      <c r="AF67" s="95">
        <v>1.04227E-2</v>
      </c>
      <c r="AG67" s="95">
        <v>9.9600000000000001E-3</v>
      </c>
      <c r="AH67" s="95">
        <v>1.3601E-2</v>
      </c>
      <c r="AI67" s="95">
        <v>1.2999999999999999E-2</v>
      </c>
      <c r="AJ67" s="95">
        <v>8.1899999999999994E-3</v>
      </c>
      <c r="AK67" s="95">
        <v>1.093E-2</v>
      </c>
      <c r="AL67" s="95">
        <v>1.047E-2</v>
      </c>
      <c r="AM67" s="97">
        <v>1.3808000000000001E-2</v>
      </c>
      <c r="AN67" s="95">
        <v>3.2560000000000002E-3</v>
      </c>
      <c r="AO67" s="95">
        <v>8.5190000000000005E-3</v>
      </c>
      <c r="AP67" s="101">
        <v>2.5409999999999999E-3</v>
      </c>
      <c r="AQ67" s="101">
        <v>2.823E-3</v>
      </c>
      <c r="AR67" s="101">
        <v>6.8120000000000003E-3</v>
      </c>
      <c r="AS67" s="101">
        <v>6.1310000000000002E-3</v>
      </c>
      <c r="AT67" s="101">
        <v>2.294E-3</v>
      </c>
      <c r="AU67" s="101">
        <v>4.4250000000000001E-3</v>
      </c>
      <c r="AV67" s="95">
        <v>3.0534E-3</v>
      </c>
      <c r="AW67" s="95">
        <v>1.0895999999999999E-2</v>
      </c>
      <c r="AX67" s="95">
        <v>9.8718999999999994E-3</v>
      </c>
      <c r="AY67" s="95">
        <v>7.1289999999999999E-3</v>
      </c>
      <c r="AZ67" s="101">
        <v>6.2709999999999997E-3</v>
      </c>
      <c r="BA67" s="101" t="s">
        <v>60</v>
      </c>
      <c r="BB67" s="95">
        <v>1.438E-2</v>
      </c>
      <c r="BC67" s="95">
        <v>2.477E-2</v>
      </c>
      <c r="BD67" s="95">
        <v>9.7006652846156338E-3</v>
      </c>
      <c r="BE67" s="95">
        <v>9.5284344112554469E-3</v>
      </c>
      <c r="BF67" s="95">
        <v>9.3609345408661067E-3</v>
      </c>
      <c r="BG67" s="101">
        <v>9.1859217624129397E-3</v>
      </c>
      <c r="BH67" s="95">
        <v>1.0123999999999999E-2</v>
      </c>
      <c r="BI67" s="101">
        <v>1.712E-2</v>
      </c>
      <c r="BJ67" s="95">
        <v>2.7169999999999998E-3</v>
      </c>
      <c r="BK67" s="95">
        <v>3.6240000000000001E-3</v>
      </c>
      <c r="BL67" s="95">
        <v>2.2651999999999999E-2</v>
      </c>
      <c r="BM67" s="95">
        <v>1.7024000000000001E-2</v>
      </c>
      <c r="BN67" s="95">
        <v>1.8482999999999999E-2</v>
      </c>
      <c r="BO67" s="101">
        <v>6.8529999999999997E-3</v>
      </c>
      <c r="BP67" s="101">
        <v>1.0814000000000001E-2</v>
      </c>
      <c r="BQ67" s="101">
        <v>9.0329999999999994E-3</v>
      </c>
      <c r="BR67" s="101">
        <v>2.4659999999999999E-3</v>
      </c>
      <c r="BS67" s="101">
        <v>4.7580000000000001E-3</v>
      </c>
      <c r="BT67" s="95">
        <v>1.1610000000000001E-2</v>
      </c>
      <c r="BU67" s="95">
        <v>1.255E-2</v>
      </c>
      <c r="BV67" s="97">
        <v>4.7E-2</v>
      </c>
      <c r="BW67" s="97">
        <v>6.6125726003312457E-2</v>
      </c>
      <c r="BX67" s="97">
        <v>0.10100000000000001</v>
      </c>
      <c r="BY67" s="97">
        <v>6.08E-2</v>
      </c>
      <c r="BZ67" s="96">
        <v>4.8500000000000001E-2</v>
      </c>
      <c r="CA67" s="97">
        <v>3.5000000000000003E-2</v>
      </c>
      <c r="CB67" s="97">
        <v>1.6544E-2</v>
      </c>
      <c r="CC67" s="97">
        <v>3.5442000000000001E-2</v>
      </c>
      <c r="CD67" s="97">
        <v>4.9000000000000002E-2</v>
      </c>
      <c r="CE67" s="97">
        <v>1.3999999999999999E-4</v>
      </c>
      <c r="CF67" s="97">
        <v>2.7490000000000001E-2</v>
      </c>
      <c r="CG67" s="96">
        <v>4.8500000000000001E-2</v>
      </c>
      <c r="CH67" s="96">
        <v>4.8500000000000001E-2</v>
      </c>
      <c r="CI67" s="95">
        <v>3.0890000000000002E-3</v>
      </c>
      <c r="CJ67" s="95">
        <v>2.0799999999999998E-3</v>
      </c>
      <c r="CK67" s="101">
        <v>1.057E-2</v>
      </c>
      <c r="CL67" s="96">
        <v>8.2500000000000004E-2</v>
      </c>
      <c r="CM67" s="101">
        <v>6.2199999999999998E-3</v>
      </c>
      <c r="CN67" s="101">
        <v>2.86E-2</v>
      </c>
      <c r="CO67" s="95">
        <v>1.49E-2</v>
      </c>
      <c r="CP67" s="95">
        <v>1.021E-2</v>
      </c>
      <c r="CQ67" s="101">
        <v>7.1199999999999996E-3</v>
      </c>
      <c r="CR67" s="95">
        <v>1.4E-2</v>
      </c>
      <c r="CS67" s="95">
        <v>9.7000000000000003E-3</v>
      </c>
      <c r="CT67" s="95">
        <v>1.022E-2</v>
      </c>
      <c r="CU67" s="95">
        <v>6.8100000000000001E-3</v>
      </c>
      <c r="CV67" s="95">
        <v>2.7599999999999999E-3</v>
      </c>
      <c r="CW67" s="95">
        <v>8.4499999999999992E-3</v>
      </c>
      <c r="CX67" s="95">
        <v>1.5440000000000001E-2</v>
      </c>
      <c r="CY67" s="104">
        <v>12.012</v>
      </c>
      <c r="CZ67" s="104">
        <v>7.5960000000000001</v>
      </c>
      <c r="DA67" s="104">
        <v>11.45</v>
      </c>
      <c r="DB67" s="104">
        <v>11.37</v>
      </c>
      <c r="DC67" s="104">
        <v>12.92</v>
      </c>
      <c r="DD67" s="104">
        <v>15.24</v>
      </c>
    </row>
    <row r="68" spans="1:108">
      <c r="A68" s="54">
        <v>56</v>
      </c>
      <c r="B68" s="95">
        <v>0.01</v>
      </c>
      <c r="C68" s="95">
        <v>1.9890000000000001E-2</v>
      </c>
      <c r="D68" s="96">
        <v>2.689E-3</v>
      </c>
      <c r="E68" s="96">
        <v>4.8760000000000001E-3</v>
      </c>
      <c r="F68" s="95">
        <v>3.003E-3</v>
      </c>
      <c r="G68" s="95">
        <v>5.4650000000000002E-3</v>
      </c>
      <c r="H68" s="95">
        <v>5.1460000000000004E-3</v>
      </c>
      <c r="I68" s="95">
        <v>1.1490999999999999E-2</v>
      </c>
      <c r="J68" s="95">
        <v>1.1490999999999999E-2</v>
      </c>
      <c r="K68" s="95">
        <v>7.8180000000000003E-3</v>
      </c>
      <c r="L68" s="95">
        <v>9.1199999999999996E-3</v>
      </c>
      <c r="M68" s="95">
        <v>3.5279999999999999E-3</v>
      </c>
      <c r="N68" s="95">
        <v>3.1510000000000002E-3</v>
      </c>
      <c r="O68" s="95">
        <v>7.1840000000000003E-3</v>
      </c>
      <c r="P68" s="95">
        <v>6.4089999999999998E-3</v>
      </c>
      <c r="Q68" s="97">
        <v>3.2100000000000002E-3</v>
      </c>
      <c r="R68" s="97">
        <v>6.3499999999999997E-3</v>
      </c>
      <c r="S68" s="97">
        <v>2.4499999999999999E-3</v>
      </c>
      <c r="T68" s="97">
        <v>4.6800000000000001E-3</v>
      </c>
      <c r="U68" s="98">
        <v>3.6901E-3</v>
      </c>
      <c r="V68" s="99">
        <v>5.9795999999999998E-3</v>
      </c>
      <c r="W68" s="98">
        <v>2.3297999999999999E-3</v>
      </c>
      <c r="X68" s="99">
        <v>4.2981E-3</v>
      </c>
      <c r="Y68" s="100">
        <v>3.9388176E-3</v>
      </c>
      <c r="Z68" s="100">
        <v>6.1056373999999998E-3</v>
      </c>
      <c r="AA68" s="100">
        <v>2.6910447999999999E-3</v>
      </c>
      <c r="AB68" s="100">
        <v>4.4915373999999996E-3</v>
      </c>
      <c r="AC68" s="95">
        <v>1.6240000000000001E-2</v>
      </c>
      <c r="AD68" s="95">
        <v>1.9429999999999999E-2</v>
      </c>
      <c r="AE68" s="95">
        <v>1.421E-2</v>
      </c>
      <c r="AF68" s="95">
        <v>1.13922E-2</v>
      </c>
      <c r="AG68" s="95">
        <v>1.089E-2</v>
      </c>
      <c r="AH68" s="95">
        <v>1.4870299999999999E-2</v>
      </c>
      <c r="AI68" s="95">
        <v>1.421E-2</v>
      </c>
      <c r="AJ68" s="95">
        <v>9.0299999999999998E-3</v>
      </c>
      <c r="AK68" s="95">
        <v>1.2019999999999999E-2</v>
      </c>
      <c r="AL68" s="95">
        <v>1.1460000000000001E-2</v>
      </c>
      <c r="AM68" s="97">
        <v>1.5105E-2</v>
      </c>
      <c r="AN68" s="95">
        <v>3.5739999999999999E-3</v>
      </c>
      <c r="AO68" s="95">
        <v>9.2619999999999994E-3</v>
      </c>
      <c r="AP68" s="101">
        <v>2.8029999999999999E-3</v>
      </c>
      <c r="AQ68" s="101">
        <v>3.114E-3</v>
      </c>
      <c r="AR68" s="101">
        <v>7.3530000000000002E-3</v>
      </c>
      <c r="AS68" s="101">
        <v>6.6179999999999998E-3</v>
      </c>
      <c r="AT68" s="101">
        <v>2.5630000000000002E-3</v>
      </c>
      <c r="AU68" s="101">
        <v>4.9490000000000003E-3</v>
      </c>
      <c r="AV68" s="95">
        <v>3.3503999999999999E-3</v>
      </c>
      <c r="AW68" s="95">
        <v>1.1976000000000001E-2</v>
      </c>
      <c r="AX68" s="95">
        <v>1.08822E-2</v>
      </c>
      <c r="AY68" s="95">
        <v>7.8760000000000011E-3</v>
      </c>
      <c r="AZ68" s="101">
        <v>6.7850000000000002E-3</v>
      </c>
      <c r="BA68" s="101" t="s">
        <v>61</v>
      </c>
      <c r="BB68" s="95">
        <v>1.576E-2</v>
      </c>
      <c r="BC68" s="95">
        <v>2.6429999999999999E-2</v>
      </c>
      <c r="BD68" s="95">
        <v>1.0456736609813635E-2</v>
      </c>
      <c r="BE68" s="95">
        <v>1.028343397921168E-2</v>
      </c>
      <c r="BF68" s="95">
        <v>1.010155964754338E-2</v>
      </c>
      <c r="BG68" s="101">
        <v>9.9176040685826014E-3</v>
      </c>
      <c r="BH68" s="95">
        <v>1.1028E-2</v>
      </c>
      <c r="BI68" s="101">
        <v>1.8259999999999998E-2</v>
      </c>
      <c r="BJ68" s="95">
        <v>3.0899999999999999E-3</v>
      </c>
      <c r="BK68" s="95">
        <v>4.1999999999999997E-3</v>
      </c>
      <c r="BL68" s="95">
        <v>2.4756E-2</v>
      </c>
      <c r="BM68" s="95">
        <v>1.8633E-2</v>
      </c>
      <c r="BN68" s="95">
        <v>2.0246E-2</v>
      </c>
      <c r="BO68" s="101">
        <v>7.5430000000000002E-3</v>
      </c>
      <c r="BP68" s="101">
        <v>1.1863E-2</v>
      </c>
      <c r="BQ68" s="101">
        <v>9.8750000000000001E-3</v>
      </c>
      <c r="BR68" s="101">
        <v>2.7550000000000001E-3</v>
      </c>
      <c r="BS68" s="101">
        <v>5.3220000000000003E-3</v>
      </c>
      <c r="BT68" s="95">
        <v>1.2489999999999999E-2</v>
      </c>
      <c r="BU68" s="95">
        <v>1.3809999999999999E-2</v>
      </c>
      <c r="BV68" s="97">
        <v>4.7E-2</v>
      </c>
      <c r="BW68" s="97">
        <v>6.5855420764034944E-2</v>
      </c>
      <c r="BX68" s="97">
        <v>0.10299999999999999</v>
      </c>
      <c r="BY68" s="97">
        <v>6.0699999999999997E-2</v>
      </c>
      <c r="BZ68" s="96">
        <v>4.87E-2</v>
      </c>
      <c r="CA68" s="97">
        <v>3.4000000000000002E-2</v>
      </c>
      <c r="CB68" s="97">
        <v>1.7597999999999999E-2</v>
      </c>
      <c r="CC68" s="97">
        <v>3.6732000000000001E-2</v>
      </c>
      <c r="CD68" s="97">
        <v>5.2999999999999999E-2</v>
      </c>
      <c r="CE68" s="97">
        <v>1.6000000000000001E-4</v>
      </c>
      <c r="CF68" s="97">
        <v>2.8809999999999999E-2</v>
      </c>
      <c r="CG68" s="96">
        <v>4.87E-2</v>
      </c>
      <c r="CH68" s="96">
        <v>4.87E-2</v>
      </c>
      <c r="CI68" s="95">
        <v>3.4520000000000002E-3</v>
      </c>
      <c r="CJ68" s="95">
        <v>2.2599999999999999E-3</v>
      </c>
      <c r="CK68" s="101">
        <v>1.1339999999999999E-2</v>
      </c>
      <c r="CL68" s="96">
        <v>8.3599999999999994E-2</v>
      </c>
      <c r="CM68" s="101">
        <v>7.0899999999999999E-3</v>
      </c>
      <c r="CN68" s="101">
        <v>3.1800000000000002E-2</v>
      </c>
      <c r="CO68" s="95">
        <v>1.5959999999999998E-2</v>
      </c>
      <c r="CP68" s="95">
        <v>1.119E-2</v>
      </c>
      <c r="CQ68" s="101">
        <v>8.3800000000000003E-3</v>
      </c>
      <c r="CR68" s="95">
        <v>1.5800000000000002E-2</v>
      </c>
      <c r="CS68" s="95">
        <v>1.0789999999999999E-2</v>
      </c>
      <c r="CT68" s="95">
        <v>1.187E-2</v>
      </c>
      <c r="CU68" s="95">
        <v>7.9100000000000004E-3</v>
      </c>
      <c r="CV68" s="95">
        <v>3.0599999999999998E-3</v>
      </c>
      <c r="CW68" s="95">
        <v>9.41E-3</v>
      </c>
      <c r="CX68" s="95">
        <v>1.678E-2</v>
      </c>
      <c r="CY68" s="104">
        <v>12.586</v>
      </c>
      <c r="CZ68" s="104">
        <v>8.1210000000000004</v>
      </c>
      <c r="DA68" s="104">
        <v>12.2</v>
      </c>
      <c r="DB68" s="104">
        <v>11.8</v>
      </c>
      <c r="DC68" s="104">
        <v>13.56</v>
      </c>
      <c r="DD68" s="104">
        <v>15.66</v>
      </c>
    </row>
    <row r="69" spans="1:108">
      <c r="A69" s="54">
        <v>57</v>
      </c>
      <c r="B69" s="95">
        <v>1.1010000000000001E-2</v>
      </c>
      <c r="C69" s="95">
        <v>2.1340000000000001E-2</v>
      </c>
      <c r="D69" s="96">
        <v>2.9420000000000002E-3</v>
      </c>
      <c r="E69" s="96">
        <v>5.228E-3</v>
      </c>
      <c r="F69" s="95">
        <v>3.2799999999999999E-3</v>
      </c>
      <c r="G69" s="95">
        <v>5.8609999999999999E-3</v>
      </c>
      <c r="H69" s="95">
        <v>5.64E-3</v>
      </c>
      <c r="I69" s="95">
        <v>1.2460000000000001E-2</v>
      </c>
      <c r="J69" s="95">
        <v>1.2460000000000001E-2</v>
      </c>
      <c r="K69" s="95">
        <v>8.6780000000000017E-3</v>
      </c>
      <c r="L69" s="95">
        <v>9.8499999999999994E-3</v>
      </c>
      <c r="M69" s="95">
        <v>3.8319999999999999E-3</v>
      </c>
      <c r="N69" s="95">
        <v>3.4320000000000002E-3</v>
      </c>
      <c r="O69" s="95">
        <v>7.6579999999999999E-3</v>
      </c>
      <c r="P69" s="95">
        <v>6.8389999999999996E-3</v>
      </c>
      <c r="Q69" s="97">
        <v>3.5100000000000001E-3</v>
      </c>
      <c r="R69" s="97">
        <v>6.8999999999999999E-3</v>
      </c>
      <c r="S69" s="97">
        <v>2.7100000000000002E-3</v>
      </c>
      <c r="T69" s="97">
        <v>5.0899999999999999E-3</v>
      </c>
      <c r="U69" s="98">
        <v>4.0317E-3</v>
      </c>
      <c r="V69" s="99">
        <v>6.5446999999999996E-3</v>
      </c>
      <c r="W69" s="98">
        <v>2.5639999999999999E-3</v>
      </c>
      <c r="X69" s="99">
        <v>4.7162999999999997E-3</v>
      </c>
      <c r="Y69" s="100">
        <v>4.3144354999999999E-3</v>
      </c>
      <c r="Z69" s="100">
        <v>6.6842113000000003E-3</v>
      </c>
      <c r="AA69" s="100">
        <v>2.9569607E-3</v>
      </c>
      <c r="AB69" s="100">
        <v>4.9303584000000003E-3</v>
      </c>
      <c r="AC69" s="95">
        <v>1.77E-2</v>
      </c>
      <c r="AD69" s="95">
        <v>2.1000000000000001E-2</v>
      </c>
      <c r="AE69" s="95">
        <v>1.554E-2</v>
      </c>
      <c r="AF69" s="95">
        <v>1.24467E-2</v>
      </c>
      <c r="AG69" s="95">
        <v>1.1900000000000001E-2</v>
      </c>
      <c r="AH69" s="95">
        <v>1.6264199999999999E-2</v>
      </c>
      <c r="AI69" s="95">
        <v>1.554E-2</v>
      </c>
      <c r="AJ69" s="95">
        <v>9.9399999999999992E-3</v>
      </c>
      <c r="AK69" s="95">
        <v>1.3220000000000001E-2</v>
      </c>
      <c r="AL69" s="95">
        <v>1.2489999999999999E-2</v>
      </c>
      <c r="AM69" s="97">
        <v>1.6492E-2</v>
      </c>
      <c r="AN69" s="95">
        <v>3.9480000000000001E-3</v>
      </c>
      <c r="AO69" s="95">
        <v>1.0038999999999999E-2</v>
      </c>
      <c r="AP69" s="101">
        <v>3.1029999999999999E-3</v>
      </c>
      <c r="AQ69" s="101">
        <v>3.4480000000000001E-3</v>
      </c>
      <c r="AR69" s="101">
        <v>7.9319999999999998E-3</v>
      </c>
      <c r="AS69" s="101">
        <v>7.1390000000000004E-3</v>
      </c>
      <c r="AT69" s="101">
        <v>2.9190000000000002E-3</v>
      </c>
      <c r="AU69" s="101">
        <v>5.581E-3</v>
      </c>
      <c r="AV69" s="95">
        <v>3.656E-3</v>
      </c>
      <c r="AW69" s="95">
        <v>1.3162999999999999E-2</v>
      </c>
      <c r="AX69" s="95">
        <v>1.1998200000000001E-2</v>
      </c>
      <c r="AY69" s="95">
        <v>8.6880000000000013E-3</v>
      </c>
      <c r="AZ69" s="101">
        <v>7.3470000000000002E-3</v>
      </c>
      <c r="BA69" s="101" t="s">
        <v>62</v>
      </c>
      <c r="BB69" s="95">
        <v>1.738E-2</v>
      </c>
      <c r="BC69" s="95">
        <v>2.8289999999999999E-2</v>
      </c>
      <c r="BD69" s="95">
        <v>1.1251094494208937E-2</v>
      </c>
      <c r="BE69" s="95">
        <v>1.1073470923594345E-2</v>
      </c>
      <c r="BF69" s="95">
        <v>1.0879486443442214E-2</v>
      </c>
      <c r="BG69" s="101">
        <v>1.068617720141278E-2</v>
      </c>
      <c r="BH69" s="95">
        <v>1.1976000000000001E-2</v>
      </c>
      <c r="BI69" s="101">
        <v>1.9529999999999999E-2</v>
      </c>
      <c r="BJ69" s="95">
        <v>3.4780000000000002E-3</v>
      </c>
      <c r="BK69" s="95">
        <v>4.6930000000000001E-3</v>
      </c>
      <c r="BL69" s="95">
        <v>2.7074999999999998E-2</v>
      </c>
      <c r="BM69" s="95">
        <v>2.0358000000000001E-2</v>
      </c>
      <c r="BN69" s="95">
        <v>2.2183999999999999E-2</v>
      </c>
      <c r="BO69" s="101">
        <v>8.2780000000000006E-3</v>
      </c>
      <c r="BP69" s="101">
        <v>1.2952E-2</v>
      </c>
      <c r="BQ69" s="101">
        <v>1.0814000000000001E-2</v>
      </c>
      <c r="BR69" s="101">
        <v>3.1389999999999999E-3</v>
      </c>
      <c r="BS69" s="101">
        <v>6.0010000000000003E-3</v>
      </c>
      <c r="BT69" s="95">
        <v>1.3520000000000001E-2</v>
      </c>
      <c r="BU69" s="95">
        <v>1.52E-2</v>
      </c>
      <c r="BV69" s="97">
        <v>4.7199999999999999E-2</v>
      </c>
      <c r="BW69" s="97">
        <v>6.5733351249885774E-2</v>
      </c>
      <c r="BX69" s="97">
        <v>0.105</v>
      </c>
      <c r="BY69" s="97">
        <v>6.0699999999999997E-2</v>
      </c>
      <c r="BZ69" s="96">
        <v>4.8899999999999999E-2</v>
      </c>
      <c r="CA69" s="97">
        <v>3.3000000000000002E-2</v>
      </c>
      <c r="CB69" s="97">
        <v>1.8654E-2</v>
      </c>
      <c r="CC69" s="97">
        <v>3.8025999999999997E-2</v>
      </c>
      <c r="CD69" s="97">
        <v>5.6000000000000001E-2</v>
      </c>
      <c r="CE69" s="97">
        <v>1.8000000000000001E-4</v>
      </c>
      <c r="CF69" s="97">
        <v>3.0200000000000001E-2</v>
      </c>
      <c r="CG69" s="96">
        <v>4.8899999999999999E-2</v>
      </c>
      <c r="CH69" s="96">
        <v>4.8899999999999999E-2</v>
      </c>
      <c r="CI69" s="95">
        <v>3.872E-3</v>
      </c>
      <c r="CJ69" s="95">
        <v>2.4499999999999999E-3</v>
      </c>
      <c r="CK69" s="101">
        <v>1.2189999999999999E-2</v>
      </c>
      <c r="CL69" s="96">
        <v>8.3699999999999997E-2</v>
      </c>
      <c r="CM69" s="101">
        <v>8.2400000000000008E-3</v>
      </c>
      <c r="CN69" s="101">
        <v>3.5400000000000001E-2</v>
      </c>
      <c r="CO69" s="95">
        <v>1.6959999999999999E-2</v>
      </c>
      <c r="CP69" s="95">
        <v>1.222E-2</v>
      </c>
      <c r="CQ69" s="101">
        <v>9.3299999999999998E-3</v>
      </c>
      <c r="CR69" s="95">
        <v>1.78E-2</v>
      </c>
      <c r="CS69" s="95">
        <v>1.205E-2</v>
      </c>
      <c r="CT69" s="95">
        <v>1.3950000000000001E-2</v>
      </c>
      <c r="CU69" s="95">
        <v>9.2999999999999992E-3</v>
      </c>
      <c r="CV69" s="95">
        <v>3.3899999999999998E-3</v>
      </c>
      <c r="CW69" s="95">
        <v>1.026E-2</v>
      </c>
      <c r="CX69" s="95">
        <v>1.9230000000000001E-2</v>
      </c>
      <c r="CY69" s="104">
        <v>13.209</v>
      </c>
      <c r="CZ69" s="104">
        <v>8.7680000000000007</v>
      </c>
      <c r="DA69" s="104">
        <v>12.9</v>
      </c>
      <c r="DB69" s="104">
        <v>12.25</v>
      </c>
      <c r="DC69" s="104">
        <v>11.2</v>
      </c>
      <c r="DD69" s="104">
        <v>16.079999999999998</v>
      </c>
    </row>
    <row r="70" spans="1:108">
      <c r="A70" s="54">
        <v>58</v>
      </c>
      <c r="B70" s="95">
        <v>1.2149999999999999E-2</v>
      </c>
      <c r="C70" s="95">
        <v>2.2940000000000002E-2</v>
      </c>
      <c r="D70" s="96">
        <v>3.2179999999999999E-3</v>
      </c>
      <c r="E70" s="96">
        <v>5.5929999999999999E-3</v>
      </c>
      <c r="F70" s="95">
        <v>3.578E-3</v>
      </c>
      <c r="G70" s="95">
        <v>6.2649999999999997E-3</v>
      </c>
      <c r="H70" s="95">
        <v>6.1929999999999997E-3</v>
      </c>
      <c r="I70" s="95">
        <v>1.3476E-2</v>
      </c>
      <c r="J70" s="95">
        <v>1.3476E-2</v>
      </c>
      <c r="K70" s="95">
        <v>9.666000000000001E-3</v>
      </c>
      <c r="L70" s="95">
        <v>1.061E-2</v>
      </c>
      <c r="M70" s="95">
        <v>4.1549999999999998E-3</v>
      </c>
      <c r="N70" s="95">
        <v>3.7390000000000001E-3</v>
      </c>
      <c r="O70" s="95">
        <v>8.1460000000000005E-3</v>
      </c>
      <c r="P70" s="95">
        <v>7.2899999999999996E-3</v>
      </c>
      <c r="Q70" s="97">
        <v>3.8400000000000001E-3</v>
      </c>
      <c r="R70" s="97">
        <v>7.4900000000000001E-3</v>
      </c>
      <c r="S70" s="97">
        <v>2.99E-3</v>
      </c>
      <c r="T70" s="97">
        <v>5.5399999999999998E-3</v>
      </c>
      <c r="U70" s="98">
        <v>4.4048000000000004E-3</v>
      </c>
      <c r="V70" s="99">
        <v>7.0133000000000001E-3</v>
      </c>
      <c r="W70" s="98">
        <v>2.8004000000000002E-3</v>
      </c>
      <c r="X70" s="99">
        <v>5.1323000000000002E-3</v>
      </c>
      <c r="Y70" s="100">
        <v>4.7266323999999998E-3</v>
      </c>
      <c r="Z70" s="100">
        <v>7.3184712999999997E-3</v>
      </c>
      <c r="AA70" s="100">
        <v>3.2498052000000002E-3</v>
      </c>
      <c r="AB70" s="100">
        <v>5.4136482999999997E-3</v>
      </c>
      <c r="AC70" s="95">
        <v>1.924E-2</v>
      </c>
      <c r="AD70" s="95">
        <v>2.2710000000000001E-2</v>
      </c>
      <c r="AE70" s="95">
        <v>1.7000000000000001E-2</v>
      </c>
      <c r="AF70" s="95">
        <v>1.3601E-2</v>
      </c>
      <c r="AG70" s="95">
        <v>1.2999999999999999E-2</v>
      </c>
      <c r="AH70" s="95">
        <v>1.7788200000000001E-2</v>
      </c>
      <c r="AI70" s="95">
        <v>1.7000000000000001E-2</v>
      </c>
      <c r="AJ70" s="95">
        <v>1.093E-2</v>
      </c>
      <c r="AK70" s="95">
        <v>1.4540000000000001E-2</v>
      </c>
      <c r="AL70" s="95">
        <v>1.359E-2</v>
      </c>
      <c r="AM70" s="97">
        <v>1.7947999999999999E-2</v>
      </c>
      <c r="AN70" s="95">
        <v>4.3880000000000004E-3</v>
      </c>
      <c r="AO70" s="95">
        <v>1.0888999999999999E-2</v>
      </c>
      <c r="AP70" s="101">
        <v>3.4429999999999999E-3</v>
      </c>
      <c r="AQ70" s="101">
        <v>3.8249999999999998E-3</v>
      </c>
      <c r="AR70" s="101">
        <v>8.5769999999999996E-3</v>
      </c>
      <c r="AS70" s="101">
        <v>7.7190000000000002E-3</v>
      </c>
      <c r="AT70" s="101">
        <v>3.359E-3</v>
      </c>
      <c r="AU70" s="101">
        <v>6.3E-3</v>
      </c>
      <c r="AV70" s="95">
        <v>3.9654E-3</v>
      </c>
      <c r="AW70" s="95">
        <v>1.4468E-2</v>
      </c>
      <c r="AX70" s="95">
        <v>1.32307E-2</v>
      </c>
      <c r="AY70" s="95">
        <v>9.5700000000000004E-3</v>
      </c>
      <c r="AZ70" s="101">
        <v>7.9620000000000003E-3</v>
      </c>
      <c r="BA70" s="101" t="s">
        <v>63</v>
      </c>
      <c r="BB70" s="95">
        <v>1.933E-2</v>
      </c>
      <c r="BC70" s="95">
        <v>3.032E-2</v>
      </c>
      <c r="BD70" s="95">
        <v>1.2078495908509996E-2</v>
      </c>
      <c r="BE70" s="95">
        <v>1.1891880596233747E-2</v>
      </c>
      <c r="BF70" s="95">
        <v>1.1689497202980006E-2</v>
      </c>
      <c r="BG70" s="101">
        <v>1.1486513622803058E-2</v>
      </c>
      <c r="BH70" s="95">
        <v>1.2968E-2</v>
      </c>
      <c r="BI70" s="101">
        <v>2.0910000000000002E-2</v>
      </c>
      <c r="BJ70" s="95">
        <v>3.9230000000000003E-3</v>
      </c>
      <c r="BK70" s="95">
        <v>5.2729999999999999E-3</v>
      </c>
      <c r="BL70" s="95">
        <v>2.9628999999999999E-2</v>
      </c>
      <c r="BM70" s="95">
        <v>2.2172999999999998E-2</v>
      </c>
      <c r="BN70" s="95">
        <v>2.4316000000000001E-2</v>
      </c>
      <c r="BO70" s="101">
        <v>9.0329999999999994E-3</v>
      </c>
      <c r="BP70" s="101">
        <v>1.4161999999999999E-2</v>
      </c>
      <c r="BQ70" s="101">
        <v>1.1863E-2</v>
      </c>
      <c r="BR70" s="101">
        <v>3.6120000000000002E-3</v>
      </c>
      <c r="BS70" s="101">
        <v>6.7739999999999996E-3</v>
      </c>
      <c r="BT70" s="95">
        <v>1.473E-2</v>
      </c>
      <c r="BU70" s="95">
        <v>1.6729999999999998E-2</v>
      </c>
      <c r="BV70" s="97">
        <v>4.7899999999999998E-2</v>
      </c>
      <c r="BW70" s="97">
        <v>6.576464568194873E-2</v>
      </c>
      <c r="BX70" s="97">
        <v>0.107</v>
      </c>
      <c r="BY70" s="97">
        <v>6.08E-2</v>
      </c>
      <c r="BZ70" s="96">
        <v>4.9500000000000002E-2</v>
      </c>
      <c r="CA70" s="97">
        <v>3.2000000000000001E-2</v>
      </c>
      <c r="CB70" s="97">
        <v>1.9709999999999998E-2</v>
      </c>
      <c r="CC70" s="97">
        <v>3.9334000000000001E-2</v>
      </c>
      <c r="CD70" s="97">
        <v>5.8000000000000003E-2</v>
      </c>
      <c r="CE70" s="97">
        <v>2.1000000000000001E-4</v>
      </c>
      <c r="CF70" s="97">
        <v>3.1669999999999997E-2</v>
      </c>
      <c r="CG70" s="96">
        <v>4.9500000000000002E-2</v>
      </c>
      <c r="CH70" s="96">
        <v>4.9500000000000002E-2</v>
      </c>
      <c r="CI70" s="95">
        <v>4.3499999999999997E-3</v>
      </c>
      <c r="CJ70" s="95">
        <v>2.6700000000000001E-3</v>
      </c>
      <c r="CK70" s="101">
        <v>1.312E-2</v>
      </c>
      <c r="CL70" s="96">
        <v>0.08</v>
      </c>
      <c r="CM70" s="101">
        <v>9.6399999999999993E-3</v>
      </c>
      <c r="CN70" s="101">
        <v>3.9399999999999998E-2</v>
      </c>
      <c r="CO70" s="95">
        <v>1.823E-2</v>
      </c>
      <c r="CP70" s="95">
        <v>1.346E-2</v>
      </c>
      <c r="CQ70" s="101">
        <v>1.035E-2</v>
      </c>
      <c r="CR70" s="95">
        <v>1.9900000000000001E-2</v>
      </c>
      <c r="CS70" s="95">
        <v>1.336E-2</v>
      </c>
      <c r="CT70" s="95">
        <v>1.6650000000000002E-2</v>
      </c>
      <c r="CU70" s="95">
        <v>1.11E-2</v>
      </c>
      <c r="CV70" s="95">
        <v>3.7699999999999999E-3</v>
      </c>
      <c r="CW70" s="95">
        <v>1.0840000000000001E-2</v>
      </c>
      <c r="CX70" s="95">
        <v>2.198E-2</v>
      </c>
      <c r="CY70" s="104">
        <v>13.853</v>
      </c>
      <c r="CZ70" s="104">
        <v>9.5</v>
      </c>
      <c r="DA70" s="104">
        <v>13.67</v>
      </c>
      <c r="DB70" s="104">
        <v>12.72</v>
      </c>
      <c r="DC70" s="104">
        <v>11.84</v>
      </c>
      <c r="DD70" s="104">
        <v>16.52</v>
      </c>
    </row>
    <row r="71" spans="1:108">
      <c r="A71" s="54">
        <v>59</v>
      </c>
      <c r="B71" s="95">
        <v>1.3310000000000001E-2</v>
      </c>
      <c r="C71" s="95">
        <v>2.4719999999999999E-2</v>
      </c>
      <c r="D71" s="96">
        <v>3.5230000000000001E-3</v>
      </c>
      <c r="E71" s="96">
        <v>5.9880000000000003E-3</v>
      </c>
      <c r="F71" s="95">
        <v>3.9069999999999999E-3</v>
      </c>
      <c r="G71" s="95">
        <v>6.6940000000000003E-3</v>
      </c>
      <c r="H71" s="95">
        <v>6.8120000000000003E-3</v>
      </c>
      <c r="I71" s="95">
        <v>1.4541999999999999E-2</v>
      </c>
      <c r="J71" s="95">
        <v>1.4541999999999999E-2</v>
      </c>
      <c r="K71" s="95">
        <v>1.0782E-2</v>
      </c>
      <c r="L71" s="95">
        <v>1.141E-2</v>
      </c>
      <c r="M71" s="95">
        <v>4.5149999999999999E-3</v>
      </c>
      <c r="N71" s="95">
        <v>4.0810000000000004E-3</v>
      </c>
      <c r="O71" s="95">
        <v>8.6709999999999999E-3</v>
      </c>
      <c r="P71" s="95">
        <v>7.7819999999999999E-3</v>
      </c>
      <c r="Q71" s="97">
        <v>4.1999999999999997E-3</v>
      </c>
      <c r="R71" s="97">
        <v>8.1399999999999997E-3</v>
      </c>
      <c r="S71" s="97">
        <v>3.3E-3</v>
      </c>
      <c r="T71" s="97">
        <v>6.0299999999999998E-3</v>
      </c>
      <c r="U71" s="98">
        <v>4.8089999999999999E-3</v>
      </c>
      <c r="V71" s="99">
        <v>7.7397000000000004E-3</v>
      </c>
      <c r="W71" s="98">
        <v>3.0333999999999999E-3</v>
      </c>
      <c r="X71" s="99">
        <v>5.5507000000000004E-3</v>
      </c>
      <c r="Y71" s="100">
        <v>5.1783979000000003E-3</v>
      </c>
      <c r="Z71" s="100">
        <v>8.0136040000000006E-3</v>
      </c>
      <c r="AA71" s="100">
        <v>3.5721857000000001E-3</v>
      </c>
      <c r="AB71" s="100">
        <v>5.9450333999999999E-3</v>
      </c>
      <c r="AC71" s="95">
        <v>2.087E-2</v>
      </c>
      <c r="AD71" s="95">
        <v>2.4570000000000002E-2</v>
      </c>
      <c r="AE71" s="95">
        <v>1.8589999999999999E-2</v>
      </c>
      <c r="AF71" s="95">
        <v>1.4870299999999999E-2</v>
      </c>
      <c r="AG71" s="95">
        <v>1.421E-2</v>
      </c>
      <c r="AH71" s="95">
        <v>1.94568E-2</v>
      </c>
      <c r="AI71" s="95">
        <v>1.8589999999999999E-2</v>
      </c>
      <c r="AJ71" s="95">
        <v>1.2019999999999999E-2</v>
      </c>
      <c r="AK71" s="95">
        <v>1.5980000000000001E-2</v>
      </c>
      <c r="AL71" s="95">
        <v>1.477E-2</v>
      </c>
      <c r="AM71" s="97">
        <v>1.9484999999999999E-2</v>
      </c>
      <c r="AN71" s="95">
        <v>4.901E-3</v>
      </c>
      <c r="AO71" s="95">
        <v>1.1924000000000001E-2</v>
      </c>
      <c r="AP71" s="101">
        <v>3.8210000000000002E-3</v>
      </c>
      <c r="AQ71" s="101">
        <v>4.2459999999999998E-3</v>
      </c>
      <c r="AR71" s="101">
        <v>9.3150000000000004E-3</v>
      </c>
      <c r="AS71" s="101">
        <v>8.3840000000000008E-3</v>
      </c>
      <c r="AT71" s="101">
        <v>3.8630000000000001E-3</v>
      </c>
      <c r="AU71" s="101">
        <v>7.0899999999999999E-3</v>
      </c>
      <c r="AV71" s="95">
        <v>4.2734000000000001E-3</v>
      </c>
      <c r="AW71" s="95">
        <v>1.5901999999999999E-2</v>
      </c>
      <c r="AX71" s="95">
        <v>1.4591399999999999E-2</v>
      </c>
      <c r="AY71" s="95">
        <v>1.0523999999999999E-2</v>
      </c>
      <c r="AZ71" s="101">
        <v>8.6359999999999996E-3</v>
      </c>
      <c r="BA71" s="101" t="s">
        <v>64</v>
      </c>
      <c r="BB71" s="95">
        <v>2.1680000000000001E-2</v>
      </c>
      <c r="BC71" s="95">
        <v>3.2550000000000003E-2</v>
      </c>
      <c r="BD71" s="95">
        <v>1.2949393901851866E-2</v>
      </c>
      <c r="BE71" s="95">
        <v>1.2750495315596839E-2</v>
      </c>
      <c r="BF71" s="95">
        <v>1.2542259476434652E-2</v>
      </c>
      <c r="BG71" s="101">
        <v>1.2329170970488934E-2</v>
      </c>
      <c r="BH71" s="95">
        <v>1.4009000000000001E-2</v>
      </c>
      <c r="BI71" s="101">
        <v>2.2440000000000002E-2</v>
      </c>
      <c r="BJ71" s="95">
        <v>4.4409999999999996E-3</v>
      </c>
      <c r="BK71" s="95">
        <v>5.9449999999999998E-3</v>
      </c>
      <c r="BL71" s="95">
        <v>3.2441999999999999E-2</v>
      </c>
      <c r="BM71" s="95">
        <v>2.4088999999999999E-2</v>
      </c>
      <c r="BN71" s="95">
        <v>2.6661000000000001E-2</v>
      </c>
      <c r="BO71" s="101">
        <v>9.8750000000000001E-3</v>
      </c>
      <c r="BP71" s="101">
        <v>1.5509E-2</v>
      </c>
      <c r="BQ71" s="101">
        <v>1.2952E-2</v>
      </c>
      <c r="BR71" s="101">
        <v>4.1539999999999997E-3</v>
      </c>
      <c r="BS71" s="101">
        <v>7.6229999999999996E-3</v>
      </c>
      <c r="BT71" s="95">
        <v>1.6109999999999999E-2</v>
      </c>
      <c r="BU71" s="95">
        <v>1.839E-2</v>
      </c>
      <c r="BV71" s="97">
        <v>4.8599999999999997E-2</v>
      </c>
      <c r="BW71" s="97">
        <v>6.5954848826281776E-2</v>
      </c>
      <c r="BX71" s="97">
        <v>0.109</v>
      </c>
      <c r="BY71" s="97">
        <v>6.0900000000000003E-2</v>
      </c>
      <c r="BZ71" s="96">
        <v>5.0099999999999999E-2</v>
      </c>
      <c r="CA71" s="97">
        <v>3.1E-2</v>
      </c>
      <c r="CB71" s="97">
        <v>2.0767999999999998E-2</v>
      </c>
      <c r="CC71" s="97">
        <v>4.0668000000000003E-2</v>
      </c>
      <c r="CD71" s="97">
        <v>0.06</v>
      </c>
      <c r="CE71" s="97">
        <v>2.3000000000000001E-4</v>
      </c>
      <c r="CF71" s="97">
        <v>3.3230000000000003E-2</v>
      </c>
      <c r="CG71" s="96">
        <v>5.0099999999999999E-2</v>
      </c>
      <c r="CH71" s="96">
        <v>5.0099999999999999E-2</v>
      </c>
      <c r="CI71" s="95">
        <v>4.895E-3</v>
      </c>
      <c r="CJ71" s="95">
        <v>2.8900000000000002E-3</v>
      </c>
      <c r="CK71" s="101">
        <v>1.413E-2</v>
      </c>
      <c r="CL71" s="96">
        <v>7.5800000000000006E-2</v>
      </c>
      <c r="CM71" s="101">
        <v>1.056E-2</v>
      </c>
      <c r="CN71" s="101">
        <v>4.3900000000000002E-2</v>
      </c>
      <c r="CO71" s="95">
        <v>1.9369999999999998E-2</v>
      </c>
      <c r="CP71" s="95">
        <v>1.474E-2</v>
      </c>
      <c r="CQ71" s="101">
        <v>1.1440000000000001E-2</v>
      </c>
      <c r="CR71" s="95">
        <v>2.2200000000000001E-2</v>
      </c>
      <c r="CS71" s="95">
        <v>1.4630000000000001E-2</v>
      </c>
      <c r="CT71" s="95">
        <v>1.89E-2</v>
      </c>
      <c r="CU71" s="95">
        <v>1.26E-2</v>
      </c>
      <c r="CV71" s="95">
        <v>4.1799999999999997E-3</v>
      </c>
      <c r="CW71" s="95">
        <v>1.1429999999999999E-2</v>
      </c>
      <c r="CX71" s="95">
        <v>2.6980000000000001E-2</v>
      </c>
      <c r="CY71" s="104">
        <v>14.518000000000001</v>
      </c>
      <c r="CZ71" s="104">
        <v>10.747999999999999</v>
      </c>
      <c r="DA71" s="104">
        <v>14.46</v>
      </c>
      <c r="DB71" s="104">
        <v>13.9</v>
      </c>
      <c r="DC71" s="104">
        <v>15.18</v>
      </c>
      <c r="DD71" s="104">
        <v>16.97</v>
      </c>
    </row>
    <row r="72" spans="1:108">
      <c r="A72" s="54">
        <v>60</v>
      </c>
      <c r="B72" s="95">
        <v>1.487E-2</v>
      </c>
      <c r="C72" s="95">
        <v>2.6690000000000002E-2</v>
      </c>
      <c r="D72" s="96">
        <v>3.8630000000000001E-3</v>
      </c>
      <c r="E72" s="96">
        <v>6.4279999999999997E-3</v>
      </c>
      <c r="F72" s="95">
        <v>4.2770000000000004E-3</v>
      </c>
      <c r="G72" s="95">
        <v>7.1700000000000002E-3</v>
      </c>
      <c r="H72" s="95">
        <v>7.5040000000000003E-3</v>
      </c>
      <c r="I72" s="95">
        <v>1.5661999999999999E-2</v>
      </c>
      <c r="J72" s="95">
        <v>1.5662000000000002E-2</v>
      </c>
      <c r="K72" s="95">
        <v>1.2026999999999999E-2</v>
      </c>
      <c r="L72" s="95">
        <v>1.225E-2</v>
      </c>
      <c r="M72" s="95">
        <v>4.927E-3</v>
      </c>
      <c r="N72" s="95">
        <v>4.4669999999999996E-3</v>
      </c>
      <c r="O72" s="95">
        <v>9.2659999999999999E-3</v>
      </c>
      <c r="P72" s="95">
        <v>8.3379999999999999E-3</v>
      </c>
      <c r="Q72" s="97">
        <v>4.5900000000000003E-3</v>
      </c>
      <c r="R72" s="97">
        <v>8.8599999999999998E-3</v>
      </c>
      <c r="S72" s="97">
        <v>3.65E-3</v>
      </c>
      <c r="T72" s="97">
        <v>6.5599999999999999E-3</v>
      </c>
      <c r="U72" s="98">
        <v>5.2624999999999998E-3</v>
      </c>
      <c r="V72" s="99">
        <v>8.4372000000000006E-3</v>
      </c>
      <c r="W72" s="98">
        <v>3.3008999999999998E-3</v>
      </c>
      <c r="X72" s="99">
        <v>6.0007999999999997E-3</v>
      </c>
      <c r="Y72" s="100">
        <v>5.6748589000000004E-3</v>
      </c>
      <c r="Z72" s="100">
        <v>8.7755365000000002E-3</v>
      </c>
      <c r="AA72" s="100">
        <v>3.9266999000000004E-3</v>
      </c>
      <c r="AB72" s="100">
        <v>6.5296006999999998E-3</v>
      </c>
      <c r="AC72" s="95">
        <v>2.2620000000000001E-2</v>
      </c>
      <c r="AD72" s="95">
        <v>2.6589999999999999E-2</v>
      </c>
      <c r="AE72" s="95">
        <v>2.034E-2</v>
      </c>
      <c r="AF72" s="95">
        <v>1.6264199999999999E-2</v>
      </c>
      <c r="AG72" s="95">
        <v>1.554E-2</v>
      </c>
      <c r="AH72" s="95">
        <v>2.1280199999999999E-2</v>
      </c>
      <c r="AI72" s="95">
        <v>2.034E-2</v>
      </c>
      <c r="AJ72" s="95">
        <v>1.3220000000000001E-2</v>
      </c>
      <c r="AK72" s="95">
        <v>1.7559999999999999E-2</v>
      </c>
      <c r="AL72" s="95">
        <v>1.6079999999999997E-2</v>
      </c>
      <c r="AM72" s="97">
        <v>2.1121999999999998E-2</v>
      </c>
      <c r="AN72" s="95">
        <v>5.489E-3</v>
      </c>
      <c r="AO72" s="95">
        <v>1.3119E-2</v>
      </c>
      <c r="AP72" s="101">
        <v>4.241E-3</v>
      </c>
      <c r="AQ72" s="101">
        <v>4.712E-3</v>
      </c>
      <c r="AR72" s="101">
        <v>1.0175E-2</v>
      </c>
      <c r="AS72" s="101">
        <v>9.1579999999999995E-3</v>
      </c>
      <c r="AT72" s="101">
        <v>4.4390000000000002E-3</v>
      </c>
      <c r="AU72" s="101">
        <v>7.9760000000000005E-3</v>
      </c>
      <c r="AV72" s="95">
        <v>4.5751999999999998E-3</v>
      </c>
      <c r="AW72" s="95">
        <v>1.7478E-2</v>
      </c>
      <c r="AX72" s="95">
        <v>1.6092800000000001E-2</v>
      </c>
      <c r="AY72" s="95">
        <v>1.1552E-2</v>
      </c>
      <c r="AZ72" s="101">
        <v>9.3740000000000004E-3</v>
      </c>
      <c r="BA72" s="101" t="s">
        <v>65</v>
      </c>
      <c r="BB72" s="95">
        <v>2.4219999999999998E-2</v>
      </c>
      <c r="BC72" s="95">
        <v>3.5009999999999999E-2</v>
      </c>
      <c r="BD72" s="95">
        <v>1.3886696489074452E-2</v>
      </c>
      <c r="BE72" s="95">
        <v>1.3673886852198449E-2</v>
      </c>
      <c r="BF72" s="95">
        <v>1.3461246130061909E-2</v>
      </c>
      <c r="BG72" s="101">
        <v>1.3238164177754339E-2</v>
      </c>
      <c r="BH72" s="95">
        <v>1.5102000000000001E-2</v>
      </c>
      <c r="BI72" s="101">
        <v>2.4109999999999999E-2</v>
      </c>
      <c r="BJ72" s="95">
        <v>5.0549999999999996E-3</v>
      </c>
      <c r="BK72" s="95">
        <v>6.7470000000000004E-3</v>
      </c>
      <c r="BL72" s="95">
        <v>3.5538E-2</v>
      </c>
      <c r="BM72" s="95">
        <v>2.6127999999999998E-2</v>
      </c>
      <c r="BN72" s="95">
        <v>2.9238E-2</v>
      </c>
      <c r="BO72" s="101">
        <v>1.0814000000000001E-2</v>
      </c>
      <c r="BP72" s="101">
        <v>1.7010000000000001E-2</v>
      </c>
      <c r="BQ72" s="101">
        <v>1.4161999999999999E-2</v>
      </c>
      <c r="BR72" s="101">
        <v>4.7730000000000003E-3</v>
      </c>
      <c r="BS72" s="101">
        <v>8.5760000000000003E-3</v>
      </c>
      <c r="BT72" s="95">
        <v>1.7610000000000001E-2</v>
      </c>
      <c r="BU72" s="95">
        <v>2.0199999999999999E-2</v>
      </c>
      <c r="BV72" s="97">
        <v>4.9799999999999997E-2</v>
      </c>
      <c r="BW72" s="97">
        <v>6.6309941431690111E-2</v>
      </c>
      <c r="BX72" s="97">
        <v>0.111</v>
      </c>
      <c r="BY72" s="97">
        <v>6.0999999999999999E-2</v>
      </c>
      <c r="BZ72" s="96">
        <v>5.1200000000000002E-2</v>
      </c>
      <c r="CA72" s="97">
        <v>0.03</v>
      </c>
      <c r="CB72" s="97">
        <v>2.1839000000000001E-2</v>
      </c>
      <c r="CC72" s="97">
        <v>4.2042000000000003E-2</v>
      </c>
      <c r="CD72" s="97">
        <v>6.2E-2</v>
      </c>
      <c r="CE72" s="97">
        <v>2.5999999999999998E-4</v>
      </c>
      <c r="CF72" s="97">
        <v>3.4880000000000001E-2</v>
      </c>
      <c r="CG72" s="96">
        <v>5.1200000000000002E-2</v>
      </c>
      <c r="CH72" s="96">
        <v>5.1200000000000002E-2</v>
      </c>
      <c r="CI72" s="95">
        <v>5.5160000000000001E-3</v>
      </c>
      <c r="CJ72" s="95">
        <v>3.15E-3</v>
      </c>
      <c r="CK72" s="101">
        <v>1.5219999999999999E-2</v>
      </c>
      <c r="CL72" s="96">
        <v>7.0699999999999999E-2</v>
      </c>
      <c r="CM72" s="101">
        <v>1.1939999999999999E-2</v>
      </c>
      <c r="CN72" s="101">
        <v>4.8899999999999999E-2</v>
      </c>
      <c r="CO72" s="95">
        <v>2.0629999999999999E-2</v>
      </c>
      <c r="CP72" s="95">
        <v>1.6199999999999999E-2</v>
      </c>
      <c r="CQ72" s="101">
        <v>1.264E-2</v>
      </c>
      <c r="CR72" s="95">
        <v>2.4799999999999999E-2</v>
      </c>
      <c r="CS72" s="95">
        <v>1.5769999999999999E-2</v>
      </c>
      <c r="CT72" s="95">
        <v>2.07E-2</v>
      </c>
      <c r="CU72" s="95">
        <v>1.38E-2</v>
      </c>
      <c r="CV72" s="95">
        <v>4.6800000000000001E-3</v>
      </c>
      <c r="CW72" s="95">
        <v>1.204E-2</v>
      </c>
      <c r="CX72" s="95">
        <v>3.3529999999999997E-2</v>
      </c>
      <c r="CY72" s="104">
        <v>15.253</v>
      </c>
      <c r="CZ72" s="104">
        <v>11.724</v>
      </c>
      <c r="DA72" s="104">
        <v>15.31</v>
      </c>
      <c r="DB72" s="104">
        <v>13.69</v>
      </c>
      <c r="DC72" s="104">
        <v>16.12</v>
      </c>
      <c r="DD72" s="104">
        <v>17.420000000000002</v>
      </c>
    </row>
    <row r="73" spans="1:108">
      <c r="A73" s="54">
        <v>61</v>
      </c>
      <c r="B73" s="95">
        <v>1.6490000000000001E-2</v>
      </c>
      <c r="C73" s="95">
        <v>2.8879999999999999E-2</v>
      </c>
      <c r="D73" s="96">
        <v>4.2420000000000001E-3</v>
      </c>
      <c r="E73" s="96">
        <v>6.9329999999999999E-3</v>
      </c>
      <c r="F73" s="95">
        <v>4.6990000000000001E-3</v>
      </c>
      <c r="G73" s="95">
        <v>7.7140000000000004E-3</v>
      </c>
      <c r="H73" s="95">
        <v>8.2780000000000006E-3</v>
      </c>
      <c r="I73" s="95">
        <v>1.6868999999999999E-2</v>
      </c>
      <c r="J73" s="95">
        <v>1.6919E-2</v>
      </c>
      <c r="K73" s="95">
        <v>1.3401E-2</v>
      </c>
      <c r="L73" s="95">
        <v>1.3129999999999999E-2</v>
      </c>
      <c r="M73" s="95">
        <v>5.411E-3</v>
      </c>
      <c r="N73" s="95">
        <v>4.908E-3</v>
      </c>
      <c r="O73" s="95">
        <v>9.9609999999999994E-3</v>
      </c>
      <c r="P73" s="95">
        <v>8.9829999999999997E-3</v>
      </c>
      <c r="Q73" s="97">
        <v>5.0099999999999997E-3</v>
      </c>
      <c r="R73" s="97">
        <v>9.6399999999999993E-3</v>
      </c>
      <c r="S73" s="97">
        <v>4.0299999999999997E-3</v>
      </c>
      <c r="T73" s="97">
        <v>7.1500000000000001E-3</v>
      </c>
      <c r="U73" s="98">
        <v>5.7334999999999999E-3</v>
      </c>
      <c r="V73" s="99">
        <v>9.2119999999999997E-3</v>
      </c>
      <c r="W73" s="98">
        <v>3.5956999999999999E-3</v>
      </c>
      <c r="X73" s="99">
        <v>6.5037999999999997E-3</v>
      </c>
      <c r="Y73" s="100">
        <v>6.2190159000000004E-3</v>
      </c>
      <c r="Z73" s="100">
        <v>9.6104779000000008E-3</v>
      </c>
      <c r="AA73" s="100">
        <v>4.3169758999999997E-3</v>
      </c>
      <c r="AB73" s="100">
        <v>7.1722161E-3</v>
      </c>
      <c r="AC73" s="95">
        <v>2.4510000000000001E-2</v>
      </c>
      <c r="AD73" s="95">
        <v>2.878E-2</v>
      </c>
      <c r="AE73" s="95">
        <v>2.2239999999999999E-2</v>
      </c>
      <c r="AF73" s="95">
        <v>1.7788200000000001E-2</v>
      </c>
      <c r="AG73" s="95">
        <v>1.7000000000000001E-2</v>
      </c>
      <c r="AH73" s="95">
        <v>2.32634E-2</v>
      </c>
      <c r="AI73" s="95">
        <v>2.2239999999999999E-2</v>
      </c>
      <c r="AJ73" s="95">
        <v>1.4540000000000001E-2</v>
      </c>
      <c r="AK73" s="95">
        <v>1.9259999999999999E-2</v>
      </c>
      <c r="AL73" s="95">
        <v>1.754E-2</v>
      </c>
      <c r="AM73" s="97">
        <v>2.2877999999999999E-2</v>
      </c>
      <c r="AN73" s="95">
        <v>6.156E-3</v>
      </c>
      <c r="AO73" s="95">
        <v>1.444E-2</v>
      </c>
      <c r="AP73" s="101">
        <v>4.7029999999999997E-3</v>
      </c>
      <c r="AQ73" s="101">
        <v>5.2249999999999996E-3</v>
      </c>
      <c r="AR73" s="101">
        <v>1.1181999999999999E-2</v>
      </c>
      <c r="AS73" s="101">
        <v>1.0064E-2</v>
      </c>
      <c r="AT73" s="101">
        <v>5.0930000000000003E-3</v>
      </c>
      <c r="AU73" s="101">
        <v>8.9859999999999992E-3</v>
      </c>
      <c r="AV73" s="95">
        <v>4.8653999999999998E-3</v>
      </c>
      <c r="AW73" s="95">
        <v>1.9209E-2</v>
      </c>
      <c r="AX73" s="95">
        <v>1.7749000000000001E-2</v>
      </c>
      <c r="AY73" s="95">
        <v>1.2657E-2</v>
      </c>
      <c r="AZ73" s="101">
        <v>1.0182999999999999E-2</v>
      </c>
      <c r="BA73" s="101" t="s">
        <v>66</v>
      </c>
      <c r="BB73" s="95">
        <v>2.64E-2</v>
      </c>
      <c r="BC73" s="95">
        <v>3.7719999999999997E-2</v>
      </c>
      <c r="BD73" s="95">
        <v>1.4903576139252169E-2</v>
      </c>
      <c r="BE73" s="95">
        <v>1.4678257308165266E-2</v>
      </c>
      <c r="BF73" s="95">
        <v>1.4459640244970814E-2</v>
      </c>
      <c r="BG73" s="101">
        <v>1.4225895175633035E-2</v>
      </c>
      <c r="BH73" s="95">
        <v>1.6219000000000001E-2</v>
      </c>
      <c r="BI73" s="101">
        <v>2.5940000000000001E-2</v>
      </c>
      <c r="BJ73" s="95">
        <v>5.8139999999999997E-3</v>
      </c>
      <c r="BK73" s="95">
        <v>7.6759999999999997E-3</v>
      </c>
      <c r="BL73" s="95">
        <v>3.8947000000000002E-2</v>
      </c>
      <c r="BM73" s="95">
        <v>2.8402E-2</v>
      </c>
      <c r="BN73" s="95">
        <v>3.2071000000000002E-2</v>
      </c>
      <c r="BO73" s="101">
        <v>1.1863E-2</v>
      </c>
      <c r="BP73" s="101">
        <v>1.8685E-2</v>
      </c>
      <c r="BQ73" s="101">
        <v>1.5509E-2</v>
      </c>
      <c r="BR73" s="101">
        <v>5.476E-3</v>
      </c>
      <c r="BS73" s="101">
        <v>9.6629999999999997E-3</v>
      </c>
      <c r="BT73" s="95">
        <v>1.917E-2</v>
      </c>
      <c r="BU73" s="95">
        <v>2.2169999999999999E-2</v>
      </c>
      <c r="BV73" s="97">
        <v>5.0900000000000001E-2</v>
      </c>
      <c r="BW73" s="97">
        <v>6.6836360112178417E-2</v>
      </c>
      <c r="BX73" s="97">
        <v>0.113</v>
      </c>
      <c r="BY73" s="97">
        <v>6.13E-2</v>
      </c>
      <c r="BZ73" s="96">
        <v>5.2900000000000003E-2</v>
      </c>
      <c r="CA73" s="97">
        <v>2.9000000000000001E-2</v>
      </c>
      <c r="CB73" s="97">
        <v>2.2936000000000002E-2</v>
      </c>
      <c r="CC73" s="97">
        <v>4.3473999999999999E-2</v>
      </c>
      <c r="CD73" s="97">
        <v>6.4000000000000001E-2</v>
      </c>
      <c r="CE73" s="97">
        <v>2.9999999999999997E-4</v>
      </c>
      <c r="CF73" s="97">
        <v>3.6630000000000003E-2</v>
      </c>
      <c r="CG73" s="96">
        <v>5.2900000000000003E-2</v>
      </c>
      <c r="CH73" s="96">
        <v>5.2900000000000003E-2</v>
      </c>
      <c r="CI73" s="95">
        <v>6.2230000000000002E-3</v>
      </c>
      <c r="CJ73" s="95">
        <v>3.4499999999999999E-3</v>
      </c>
      <c r="CK73" s="101">
        <v>1.6389999999999998E-2</v>
      </c>
      <c r="CL73" s="96">
        <v>6.6000000000000003E-2</v>
      </c>
      <c r="CM73" s="101">
        <v>1.323E-2</v>
      </c>
      <c r="CN73" s="101">
        <v>5.4399999999999997E-2</v>
      </c>
      <c r="CO73" s="95">
        <v>2.2200000000000001E-2</v>
      </c>
      <c r="CP73" s="95">
        <v>1.7940000000000001E-2</v>
      </c>
      <c r="CQ73" s="101">
        <v>1.4149999999999999E-2</v>
      </c>
      <c r="CR73" s="95">
        <v>2.92E-2</v>
      </c>
      <c r="CS73" s="95">
        <v>1.6979999999999999E-2</v>
      </c>
      <c r="CT73" s="95">
        <v>2.206E-2</v>
      </c>
      <c r="CU73" s="95">
        <v>1.4710000000000001E-2</v>
      </c>
      <c r="CV73" s="95">
        <v>5.28E-3</v>
      </c>
      <c r="CW73" s="95">
        <v>1.2630000000000001E-2</v>
      </c>
      <c r="CX73" s="95">
        <v>4.2169999999999999E-2</v>
      </c>
      <c r="CY73" s="104">
        <v>16.044</v>
      </c>
      <c r="CZ73" s="104">
        <v>12.476000000000001</v>
      </c>
      <c r="DA73" s="104">
        <v>16.2</v>
      </c>
      <c r="DB73" s="104">
        <v>14.2</v>
      </c>
      <c r="DC73" s="104">
        <v>16.760000000000002</v>
      </c>
      <c r="DD73" s="104">
        <v>17.89</v>
      </c>
    </row>
    <row r="74" spans="1:108">
      <c r="A74" s="54">
        <v>62</v>
      </c>
      <c r="B74" s="95">
        <v>1.831E-2</v>
      </c>
      <c r="C74" s="95">
        <v>3.1289999999999998E-2</v>
      </c>
      <c r="D74" s="96">
        <v>4.6680000000000003E-3</v>
      </c>
      <c r="E74" s="96">
        <v>7.5199999999999998E-3</v>
      </c>
      <c r="F74" s="95">
        <v>5.1809999999999998E-3</v>
      </c>
      <c r="G74" s="95">
        <v>8.3479999999999995E-3</v>
      </c>
      <c r="H74" s="95">
        <v>9.1439999999999994E-3</v>
      </c>
      <c r="I74" s="95">
        <v>1.8199E-2</v>
      </c>
      <c r="J74" s="95">
        <v>1.8348E-2</v>
      </c>
      <c r="K74" s="95">
        <v>1.4900999999999999E-2</v>
      </c>
      <c r="L74" s="95">
        <v>1.4069999999999999E-2</v>
      </c>
      <c r="M74" s="95">
        <v>5.9829999999999996E-3</v>
      </c>
      <c r="N74" s="95">
        <v>5.4130000000000003E-3</v>
      </c>
      <c r="O74" s="95">
        <v>1.0787E-2</v>
      </c>
      <c r="P74" s="95">
        <v>9.7400000000000004E-3</v>
      </c>
      <c r="Q74" s="97">
        <v>5.4799999999999996E-3</v>
      </c>
      <c r="R74" s="97">
        <v>1.0489999999999999E-2</v>
      </c>
      <c r="S74" s="97">
        <v>4.45E-3</v>
      </c>
      <c r="T74" s="97">
        <v>7.7999999999999996E-3</v>
      </c>
      <c r="U74" s="98">
        <v>6.2465999999999997E-3</v>
      </c>
      <c r="V74" s="99">
        <v>9.8629000000000008E-3</v>
      </c>
      <c r="W74" s="98">
        <v>3.9135000000000003E-3</v>
      </c>
      <c r="X74" s="99">
        <v>7.0974000000000002E-3</v>
      </c>
      <c r="Y74" s="100">
        <v>6.8166499E-3</v>
      </c>
      <c r="Z74" s="100">
        <v>1.05256892E-2</v>
      </c>
      <c r="AA74" s="100">
        <v>4.7468718E-3</v>
      </c>
      <c r="AB74" s="100">
        <v>7.8788851999999996E-3</v>
      </c>
      <c r="AC74" s="95">
        <v>2.6599999999999999E-2</v>
      </c>
      <c r="AD74" s="95">
        <v>3.1179999999999999E-2</v>
      </c>
      <c r="AE74" s="95">
        <v>2.4309999999999998E-2</v>
      </c>
      <c r="AF74" s="95">
        <v>1.94568E-2</v>
      </c>
      <c r="AG74" s="95">
        <v>1.8589999999999999E-2</v>
      </c>
      <c r="AH74" s="95">
        <v>2.5426000000000001E-2</v>
      </c>
      <c r="AI74" s="95">
        <v>2.4309999999999998E-2</v>
      </c>
      <c r="AJ74" s="95">
        <v>1.5980000000000001E-2</v>
      </c>
      <c r="AK74" s="95">
        <v>2.1100000000000001E-2</v>
      </c>
      <c r="AL74" s="95">
        <v>1.9190000000000002E-2</v>
      </c>
      <c r="AM74" s="97">
        <v>2.4811E-2</v>
      </c>
      <c r="AN74" s="95">
        <v>6.8979999999999996E-3</v>
      </c>
      <c r="AO74" s="95">
        <v>1.5862999999999999E-2</v>
      </c>
      <c r="AP74" s="101">
        <v>5.2100000000000002E-3</v>
      </c>
      <c r="AQ74" s="101">
        <v>5.7889999999999999E-3</v>
      </c>
      <c r="AR74" s="101">
        <v>1.2370000000000001E-2</v>
      </c>
      <c r="AS74" s="101">
        <v>1.1133000000000001E-2</v>
      </c>
      <c r="AT74" s="101">
        <v>5.8320000000000004E-3</v>
      </c>
      <c r="AU74" s="101">
        <v>1.0147E-2</v>
      </c>
      <c r="AV74" s="95">
        <v>5.1378999999999999E-3</v>
      </c>
      <c r="AW74" s="95">
        <v>2.1111999999999999E-2</v>
      </c>
      <c r="AX74" s="95">
        <v>1.9574999999999999E-2</v>
      </c>
      <c r="AY74" s="95">
        <v>1.3842E-2</v>
      </c>
      <c r="AZ74" s="101">
        <v>1.1067E-2</v>
      </c>
      <c r="BA74" s="101" t="s">
        <v>67</v>
      </c>
      <c r="BB74" s="95">
        <v>2.8299999999999999E-2</v>
      </c>
      <c r="BC74" s="95">
        <v>4.0710000000000003E-2</v>
      </c>
      <c r="BD74" s="95">
        <v>1.5997268387112094E-2</v>
      </c>
      <c r="BE74" s="95">
        <v>1.5762932607452738E-2</v>
      </c>
      <c r="BF74" s="95">
        <v>1.5534238190904624E-2</v>
      </c>
      <c r="BG74" s="101">
        <v>1.5287667762911576E-2</v>
      </c>
      <c r="BH74" s="95">
        <v>1.7634E-2</v>
      </c>
      <c r="BI74" s="101">
        <v>2.7959999999999999E-2</v>
      </c>
      <c r="BJ74" s="95">
        <v>6.6569999999999997E-3</v>
      </c>
      <c r="BK74" s="95">
        <v>8.7569999999999992E-3</v>
      </c>
      <c r="BL74" s="95">
        <v>4.2696999999999999E-2</v>
      </c>
      <c r="BM74" s="95">
        <v>3.0908000000000001E-2</v>
      </c>
      <c r="BN74" s="95">
        <v>3.5182999999999999E-2</v>
      </c>
      <c r="BO74" s="101">
        <v>1.2952E-2</v>
      </c>
      <c r="BP74" s="101">
        <v>2.0517000000000001E-2</v>
      </c>
      <c r="BQ74" s="101">
        <v>1.7010000000000001E-2</v>
      </c>
      <c r="BR74" s="101">
        <v>6.2709999999999997E-3</v>
      </c>
      <c r="BS74" s="101">
        <v>1.0911000000000001E-2</v>
      </c>
      <c r="BT74" s="95">
        <v>2.0820000000000002E-2</v>
      </c>
      <c r="BU74" s="95">
        <v>2.4279999999999999E-2</v>
      </c>
      <c r="BV74" s="97">
        <v>5.3100000000000001E-2</v>
      </c>
      <c r="BW74" s="97">
        <v>6.7541017593995889E-2</v>
      </c>
      <c r="BX74" s="97">
        <v>0.114</v>
      </c>
      <c r="BY74" s="97">
        <v>6.1600000000000002E-2</v>
      </c>
      <c r="BZ74" s="96">
        <v>5.5E-2</v>
      </c>
      <c r="CA74" s="97">
        <v>2.8000000000000001E-2</v>
      </c>
      <c r="CB74" s="97">
        <v>2.4080000000000001E-2</v>
      </c>
      <c r="CC74" s="97">
        <v>4.4981E-2</v>
      </c>
      <c r="CD74" s="97">
        <v>6.6000000000000003E-2</v>
      </c>
      <c r="CE74" s="97">
        <v>3.4000000000000002E-4</v>
      </c>
      <c r="CF74" s="97">
        <v>3.8469999999999997E-2</v>
      </c>
      <c r="CG74" s="96">
        <v>5.5E-2</v>
      </c>
      <c r="CH74" s="96">
        <v>5.5E-2</v>
      </c>
      <c r="CI74" s="95">
        <v>7.0289999999999997E-3</v>
      </c>
      <c r="CJ74" s="95">
        <v>3.8E-3</v>
      </c>
      <c r="CK74" s="101">
        <v>1.7639999999999999E-2</v>
      </c>
      <c r="CL74" s="96">
        <v>6.2100000000000002E-2</v>
      </c>
      <c r="CM74" s="101">
        <v>1.4710000000000001E-2</v>
      </c>
      <c r="CN74" s="101">
        <v>6.0600000000000001E-2</v>
      </c>
      <c r="CO74" s="95">
        <v>2.3259999999999999E-2</v>
      </c>
      <c r="CP74" s="95">
        <v>1.959E-2</v>
      </c>
      <c r="CQ74" s="101">
        <v>1.6209999999999999E-2</v>
      </c>
      <c r="CR74" s="95">
        <v>3.4500000000000003E-2</v>
      </c>
      <c r="CS74" s="95">
        <v>1.8339999999999999E-2</v>
      </c>
      <c r="CT74" s="95">
        <v>2.3130000000000001E-2</v>
      </c>
      <c r="CU74" s="95">
        <v>1.542E-2</v>
      </c>
      <c r="CV74" s="95">
        <v>6.0000000000000001E-3</v>
      </c>
      <c r="CW74" s="95">
        <v>1.32E-2</v>
      </c>
      <c r="CX74" s="95">
        <v>5.4339999999999999E-2</v>
      </c>
      <c r="CY74" s="104">
        <v>16.863</v>
      </c>
      <c r="CZ74" s="104">
        <v>13.052</v>
      </c>
      <c r="DA74" s="104">
        <v>17</v>
      </c>
      <c r="DB74" s="104">
        <v>11.72</v>
      </c>
      <c r="DC74" s="104">
        <v>17.399999999999999</v>
      </c>
      <c r="DD74" s="104">
        <v>18.37</v>
      </c>
    </row>
    <row r="75" spans="1:108">
      <c r="A75" s="54">
        <v>63</v>
      </c>
      <c r="B75" s="95">
        <v>2.034E-2</v>
      </c>
      <c r="C75" s="95">
        <v>3.3939999999999998E-2</v>
      </c>
      <c r="D75" s="96">
        <v>5.1440000000000001E-3</v>
      </c>
      <c r="E75" s="96">
        <v>8.2070000000000008E-3</v>
      </c>
      <c r="F75" s="95">
        <v>5.7320000000000001E-3</v>
      </c>
      <c r="G75" s="95">
        <v>9.0930000000000004E-3</v>
      </c>
      <c r="H75" s="95">
        <v>1.0111999999999999E-2</v>
      </c>
      <c r="I75" s="95">
        <v>1.9665999999999999E-2</v>
      </c>
      <c r="J75" s="95">
        <v>1.9986E-2</v>
      </c>
      <c r="K75" s="95">
        <v>1.6525999999999999E-2</v>
      </c>
      <c r="L75" s="95">
        <v>1.508E-2</v>
      </c>
      <c r="M75" s="95">
        <v>6.6559999999999996E-3</v>
      </c>
      <c r="N75" s="95">
        <v>5.9899999999999997E-3</v>
      </c>
      <c r="O75" s="95">
        <v>1.1769E-2</v>
      </c>
      <c r="P75" s="95">
        <v>1.0630000000000001E-2</v>
      </c>
      <c r="Q75" s="97">
        <v>5.9899999999999997E-3</v>
      </c>
      <c r="R75" s="97">
        <v>1.1429999999999999E-2</v>
      </c>
      <c r="S75" s="97">
        <v>4.9100000000000003E-3</v>
      </c>
      <c r="T75" s="97">
        <v>8.5100000000000002E-3</v>
      </c>
      <c r="U75" s="98">
        <v>6.7444999999999996E-3</v>
      </c>
      <c r="V75" s="99">
        <v>1.069E-2</v>
      </c>
      <c r="W75" s="98">
        <v>4.2897999999999999E-3</v>
      </c>
      <c r="X75" s="99">
        <v>7.8021000000000002E-3</v>
      </c>
      <c r="Y75" s="100">
        <v>7.4716171999999999E-3</v>
      </c>
      <c r="Z75" s="100">
        <v>1.15288397E-2</v>
      </c>
      <c r="AA75" s="100">
        <v>5.2206496000000002E-3</v>
      </c>
      <c r="AB75" s="100">
        <v>8.6563625000000005E-3</v>
      </c>
      <c r="AC75" s="95">
        <v>2.886E-2</v>
      </c>
      <c r="AD75" s="95">
        <v>3.3759999999999998E-2</v>
      </c>
      <c r="AE75" s="95">
        <v>2.657E-2</v>
      </c>
      <c r="AF75" s="95">
        <v>2.1280199999999999E-2</v>
      </c>
      <c r="AG75" s="95">
        <v>2.034E-2</v>
      </c>
      <c r="AH75" s="95">
        <v>2.7788400000000001E-2</v>
      </c>
      <c r="AI75" s="95">
        <v>2.657E-2</v>
      </c>
      <c r="AJ75" s="95">
        <v>1.7559999999999999E-2</v>
      </c>
      <c r="AK75" s="95">
        <v>2.3089999999999999E-2</v>
      </c>
      <c r="AL75" s="95">
        <v>2.1059999999999999E-2</v>
      </c>
      <c r="AM75" s="97">
        <v>2.6911999999999998E-2</v>
      </c>
      <c r="AN75" s="95">
        <v>7.7120000000000001E-3</v>
      </c>
      <c r="AO75" s="95">
        <v>1.7413000000000001E-2</v>
      </c>
      <c r="AP75" s="101">
        <v>5.7689999999999998E-3</v>
      </c>
      <c r="AQ75" s="101">
        <v>6.4099999999999999E-3</v>
      </c>
      <c r="AR75" s="101">
        <v>1.3768000000000001E-2</v>
      </c>
      <c r="AS75" s="101">
        <v>1.2390999999999999E-2</v>
      </c>
      <c r="AT75" s="101">
        <v>6.6769999999999998E-3</v>
      </c>
      <c r="AU75" s="101">
        <v>1.1471E-2</v>
      </c>
      <c r="AV75" s="95">
        <v>5.5084000000000001E-3</v>
      </c>
      <c r="AW75" s="95">
        <v>2.3200999999999999E-2</v>
      </c>
      <c r="AX75" s="95">
        <v>2.1587200000000001E-2</v>
      </c>
      <c r="AY75" s="95">
        <v>1.5108E-2</v>
      </c>
      <c r="AZ75" s="101">
        <v>1.1958E-2</v>
      </c>
      <c r="BA75" s="101" t="s">
        <v>68</v>
      </c>
      <c r="BB75" s="95">
        <v>2.9590000000000002E-2</v>
      </c>
      <c r="BC75" s="95">
        <v>4.3389999999999998E-2</v>
      </c>
      <c r="BD75" s="95">
        <v>1.7176012396427937E-2</v>
      </c>
      <c r="BE75" s="95">
        <v>1.6938044267204671E-2</v>
      </c>
      <c r="BF75" s="95">
        <v>1.6693208592143391E-2</v>
      </c>
      <c r="BG75" s="101">
        <v>1.6430912694043551E-2</v>
      </c>
      <c r="BH75" s="95">
        <v>0.191167</v>
      </c>
      <c r="BI75" s="101">
        <v>3.0169999999999999E-2</v>
      </c>
      <c r="BJ75" s="95">
        <v>7.6480000000000003E-3</v>
      </c>
      <c r="BK75" s="95">
        <v>1.0012E-2</v>
      </c>
      <c r="BL75" s="95">
        <v>4.6822000000000003E-2</v>
      </c>
      <c r="BM75" s="95">
        <v>3.3640000000000003E-2</v>
      </c>
      <c r="BN75" s="95">
        <v>3.8601000000000003E-2</v>
      </c>
      <c r="BO75" s="101">
        <v>1.4161999999999999E-2</v>
      </c>
      <c r="BP75" s="101">
        <v>2.2561999999999999E-2</v>
      </c>
      <c r="BQ75" s="101">
        <v>1.8685E-2</v>
      </c>
      <c r="BR75" s="101">
        <v>7.1789999999999996E-3</v>
      </c>
      <c r="BS75" s="101">
        <v>1.2335E-2</v>
      </c>
      <c r="BT75" s="95">
        <v>2.2519999999999998E-2</v>
      </c>
      <c r="BU75" s="95">
        <v>2.656E-2</v>
      </c>
      <c r="BV75" s="97">
        <v>5.5E-2</v>
      </c>
      <c r="BW75" s="97">
        <v>6.8431323209052652E-2</v>
      </c>
      <c r="BX75" s="97">
        <v>0.114</v>
      </c>
      <c r="BY75" s="97">
        <v>6.1899999999999997E-2</v>
      </c>
      <c r="BZ75" s="96">
        <v>5.7299999999999997E-2</v>
      </c>
      <c r="CA75" s="97">
        <v>2.7E-2</v>
      </c>
      <c r="CB75" s="97">
        <v>2.5293E-2</v>
      </c>
      <c r="CC75" s="97">
        <v>4.6584E-2</v>
      </c>
      <c r="CD75" s="97">
        <v>6.8000000000000005E-2</v>
      </c>
      <c r="CE75" s="97">
        <v>3.8999999999999999E-4</v>
      </c>
      <c r="CF75" s="97">
        <v>4.0419999999999998E-2</v>
      </c>
      <c r="CG75" s="96">
        <v>5.7299999999999997E-2</v>
      </c>
      <c r="CH75" s="96">
        <v>5.7299999999999997E-2</v>
      </c>
      <c r="CI75" s="95">
        <v>7.9469999999999992E-3</v>
      </c>
      <c r="CJ75" s="95">
        <v>4.2100000000000002E-3</v>
      </c>
      <c r="CK75" s="101">
        <v>1.8970000000000001E-2</v>
      </c>
      <c r="CL75" s="96">
        <v>0.06</v>
      </c>
      <c r="CM75" s="101">
        <v>1.6289999999999999E-2</v>
      </c>
      <c r="CN75" s="101">
        <v>6.7500000000000004E-2</v>
      </c>
      <c r="CO75" s="95">
        <v>2.462E-2</v>
      </c>
      <c r="CP75" s="95">
        <v>2.1569999999999999E-2</v>
      </c>
      <c r="CQ75" s="101">
        <v>1.907E-2</v>
      </c>
      <c r="CR75" s="95">
        <v>3.4000000000000002E-2</v>
      </c>
      <c r="CS75" s="95">
        <v>1.951E-2</v>
      </c>
      <c r="CT75" s="95">
        <v>2.3970000000000002E-2</v>
      </c>
      <c r="CU75" s="95">
        <v>1.5980000000000001E-2</v>
      </c>
      <c r="CV75" s="95">
        <v>6.8900000000000003E-3</v>
      </c>
      <c r="CW75" s="95">
        <v>1.3899999999999999E-2</v>
      </c>
      <c r="CX75" s="95">
        <v>5.9319999999999998E-2</v>
      </c>
      <c r="CY75" s="104">
        <v>17.702999999999999</v>
      </c>
      <c r="CZ75" s="104">
        <v>13.5</v>
      </c>
      <c r="DA75" s="104">
        <v>17.7</v>
      </c>
      <c r="DB75" s="104">
        <v>15.26</v>
      </c>
      <c r="DC75" s="104">
        <v>18.04</v>
      </c>
      <c r="DD75" s="104">
        <v>18.86</v>
      </c>
    </row>
    <row r="76" spans="1:108">
      <c r="A76" s="54">
        <v>64</v>
      </c>
      <c r="B76" s="95">
        <v>2.2599999999999999E-2</v>
      </c>
      <c r="C76" s="95">
        <v>3.687E-2</v>
      </c>
      <c r="D76" s="96">
        <v>5.6709999999999998E-3</v>
      </c>
      <c r="E76" s="96">
        <v>9.0080000000000004E-3</v>
      </c>
      <c r="F76" s="95">
        <v>6.3470000000000002E-3</v>
      </c>
      <c r="G76" s="95">
        <v>9.9679999999999994E-3</v>
      </c>
      <c r="H76" s="95">
        <v>1.1195E-2</v>
      </c>
      <c r="I76" s="95">
        <v>2.1283E-2</v>
      </c>
      <c r="J76" s="95">
        <v>2.1867999999999999E-2</v>
      </c>
      <c r="K76" s="95">
        <v>1.8286E-2</v>
      </c>
      <c r="L76" s="95">
        <v>1.619E-2</v>
      </c>
      <c r="M76" s="95">
        <v>7.4159999999999998E-3</v>
      </c>
      <c r="N76" s="95">
        <v>6.633E-3</v>
      </c>
      <c r="O76" s="95">
        <v>1.2919999999999999E-2</v>
      </c>
      <c r="P76" s="95">
        <v>1.1664000000000001E-2</v>
      </c>
      <c r="Q76" s="97">
        <v>6.5399999999999998E-3</v>
      </c>
      <c r="R76" s="97">
        <v>1.2460000000000001E-2</v>
      </c>
      <c r="S76" s="97">
        <v>5.4099999999999999E-3</v>
      </c>
      <c r="T76" s="97">
        <v>9.2899999999999996E-3</v>
      </c>
      <c r="U76" s="98">
        <v>7.2829000000000001E-3</v>
      </c>
      <c r="V76" s="99">
        <v>1.1645900000000001E-2</v>
      </c>
      <c r="W76" s="98">
        <v>4.7134999999999998E-3</v>
      </c>
      <c r="X76" s="99">
        <v>8.6712999999999998E-3</v>
      </c>
      <c r="Y76" s="100">
        <v>8.1906671999999996E-3</v>
      </c>
      <c r="Z76" s="100">
        <v>1.26271357E-2</v>
      </c>
      <c r="AA76" s="100">
        <v>5.7413070999999998E-3</v>
      </c>
      <c r="AB76" s="100">
        <v>9.5115578000000006E-3</v>
      </c>
      <c r="AC76" s="95">
        <v>3.1309999999999998E-2</v>
      </c>
      <c r="AD76" s="95">
        <v>3.6580000000000001E-2</v>
      </c>
      <c r="AE76" s="95">
        <v>2.904E-2</v>
      </c>
      <c r="AF76" s="95">
        <v>2.32634E-2</v>
      </c>
      <c r="AG76" s="95">
        <v>2.2239999999999999E-2</v>
      </c>
      <c r="AH76" s="95">
        <v>3.0375099999999999E-2</v>
      </c>
      <c r="AI76" s="95">
        <v>2.904E-2</v>
      </c>
      <c r="AJ76" s="95">
        <v>1.9259999999999999E-2</v>
      </c>
      <c r="AK76" s="95">
        <v>2.5250000000000002E-2</v>
      </c>
      <c r="AL76" s="95">
        <v>2.3140000000000001E-2</v>
      </c>
      <c r="AM76" s="97">
        <v>2.9162E-2</v>
      </c>
      <c r="AN76" s="95">
        <v>8.6079999999999993E-3</v>
      </c>
      <c r="AO76" s="95">
        <v>1.9185000000000001E-2</v>
      </c>
      <c r="AP76" s="101">
        <v>6.3860000000000002E-3</v>
      </c>
      <c r="AQ76" s="101">
        <v>7.0949999999999997E-3</v>
      </c>
      <c r="AR76" s="101">
        <v>1.5409000000000001E-2</v>
      </c>
      <c r="AS76" s="101">
        <v>1.3868E-2</v>
      </c>
      <c r="AT76" s="101">
        <v>7.6210000000000002E-3</v>
      </c>
      <c r="AU76" s="101">
        <v>1.294E-2</v>
      </c>
      <c r="AV76" s="95">
        <v>6.0899999999999999E-3</v>
      </c>
      <c r="AW76" s="95">
        <v>2.5495E-2</v>
      </c>
      <c r="AX76" s="95">
        <v>2.38032E-2</v>
      </c>
      <c r="AY76" s="95">
        <v>1.6460000000000002E-2</v>
      </c>
      <c r="AZ76" s="101">
        <v>1.2818E-2</v>
      </c>
      <c r="BA76" s="101" t="s">
        <v>69</v>
      </c>
      <c r="BB76" s="95">
        <v>3.1130000000000001E-2</v>
      </c>
      <c r="BC76" s="95">
        <v>4.759E-2</v>
      </c>
      <c r="BD76" s="95">
        <v>1.8451898594910449E-2</v>
      </c>
      <c r="BE76" s="95">
        <v>1.8214527876142986E-2</v>
      </c>
      <c r="BF76" s="95">
        <v>1.794903131965752E-2</v>
      </c>
      <c r="BG76" s="101">
        <v>1.7668869049525172E-2</v>
      </c>
      <c r="BH76" s="95">
        <v>2.0927000000000001E-2</v>
      </c>
      <c r="BI76" s="101">
        <v>3.2599999999999997E-2</v>
      </c>
      <c r="BJ76" s="95">
        <v>8.6189999999999999E-3</v>
      </c>
      <c r="BK76" s="95">
        <v>1.128E-2</v>
      </c>
      <c r="BL76" s="95">
        <v>5.1357E-2</v>
      </c>
      <c r="BM76" s="95">
        <v>3.6576999999999998E-2</v>
      </c>
      <c r="BN76" s="95">
        <v>4.2354999999999997E-2</v>
      </c>
      <c r="BO76" s="101">
        <v>1.5509E-2</v>
      </c>
      <c r="BP76" s="101">
        <v>2.4847000000000001E-2</v>
      </c>
      <c r="BQ76" s="101">
        <v>2.0517000000000001E-2</v>
      </c>
      <c r="BR76" s="101">
        <v>8.1939999999999999E-3</v>
      </c>
      <c r="BS76" s="101">
        <v>1.3913999999999999E-2</v>
      </c>
      <c r="BT76" s="95">
        <v>2.4309999999999998E-2</v>
      </c>
      <c r="BU76" s="95">
        <v>2.904E-2</v>
      </c>
      <c r="BV76" s="97">
        <v>5.74E-2</v>
      </c>
      <c r="BW76" s="97">
        <v>6.9515203602553921E-2</v>
      </c>
      <c r="BX76" s="97">
        <v>0.115</v>
      </c>
      <c r="BY76" s="97">
        <v>6.2300000000000001E-2</v>
      </c>
      <c r="BZ76" s="96">
        <v>6.0199999999999997E-2</v>
      </c>
      <c r="CA76" s="97">
        <v>2.5999999999999999E-2</v>
      </c>
      <c r="CB76" s="97">
        <v>2.6599999999999999E-2</v>
      </c>
      <c r="CC76" s="97">
        <v>4.8307000000000003E-2</v>
      </c>
      <c r="CD76" s="97">
        <v>7.0000000000000007E-2</v>
      </c>
      <c r="CE76" s="97">
        <v>4.6999999999999999E-4</v>
      </c>
      <c r="CF76" s="97">
        <v>4.2479999999999997E-2</v>
      </c>
      <c r="CG76" s="96">
        <v>6.0199999999999997E-2</v>
      </c>
      <c r="CH76" s="96">
        <v>6.0199999999999997E-2</v>
      </c>
      <c r="CI76" s="95">
        <v>8.9929999999999993E-3</v>
      </c>
      <c r="CJ76" s="95">
        <v>4.7400000000000003E-3</v>
      </c>
      <c r="CK76" s="101">
        <v>2.0379999999999999E-2</v>
      </c>
      <c r="CL76" s="96">
        <v>5.9400000000000001E-2</v>
      </c>
      <c r="CM76" s="101">
        <v>1.8069999999999999E-2</v>
      </c>
      <c r="CN76" s="101">
        <v>7.51E-2</v>
      </c>
      <c r="CO76" s="95">
        <v>2.6040000000000001E-2</v>
      </c>
      <c r="CP76" s="95">
        <v>2.3789999999999999E-2</v>
      </c>
      <c r="CQ76" s="101">
        <v>2.2950000000000002E-2</v>
      </c>
      <c r="CR76" s="95">
        <v>0.03</v>
      </c>
      <c r="CS76" s="95">
        <v>2.018E-2</v>
      </c>
      <c r="CT76" s="95">
        <v>2.46E-2</v>
      </c>
      <c r="CU76" s="95">
        <v>1.6400000000000001E-2</v>
      </c>
      <c r="CV76" s="95">
        <v>8.0599999999999995E-3</v>
      </c>
      <c r="CW76" s="95">
        <v>1.4630000000000001E-2</v>
      </c>
      <c r="CX76" s="95">
        <v>6.8339999999999998E-2</v>
      </c>
      <c r="CY76" s="104">
        <v>18.55</v>
      </c>
      <c r="CZ76" s="104">
        <v>14.172000000000001</v>
      </c>
      <c r="DA76" s="104">
        <v>18.18</v>
      </c>
      <c r="DB76" s="104">
        <v>15.81</v>
      </c>
      <c r="DC76" s="104">
        <v>18.68</v>
      </c>
      <c r="DD76" s="104">
        <v>19.36</v>
      </c>
    </row>
    <row r="77" spans="1:108">
      <c r="A77" s="54">
        <v>65</v>
      </c>
      <c r="B77" s="95">
        <v>2.5069999999999999E-2</v>
      </c>
      <c r="C77" s="95">
        <v>4.0130000000000006E-2</v>
      </c>
      <c r="D77" s="96">
        <v>6.2500000000000003E-3</v>
      </c>
      <c r="E77" s="96">
        <v>9.9399999999999992E-3</v>
      </c>
      <c r="F77" s="95">
        <v>7.0169999999999998E-3</v>
      </c>
      <c r="G77" s="95">
        <v>1.0992999999999999E-2</v>
      </c>
      <c r="H77" s="95">
        <v>1.2406E-2</v>
      </c>
      <c r="I77" s="95">
        <v>2.3066E-2</v>
      </c>
      <c r="J77" s="95">
        <v>2.4012000000000002E-2</v>
      </c>
      <c r="K77" s="95">
        <v>2.0192000000000002E-2</v>
      </c>
      <c r="L77" s="95">
        <v>1.7409999999999998E-2</v>
      </c>
      <c r="M77" s="95">
        <v>8.2410000000000001E-3</v>
      </c>
      <c r="N77" s="95">
        <v>7.3359999999999996E-3</v>
      </c>
      <c r="O77" s="95">
        <v>1.4248E-2</v>
      </c>
      <c r="P77" s="95">
        <v>1.2851E-2</v>
      </c>
      <c r="Q77" s="97">
        <v>7.1399999999999996E-3</v>
      </c>
      <c r="R77" s="97">
        <v>1.358E-2</v>
      </c>
      <c r="S77" s="97">
        <v>5.9300000000000004E-3</v>
      </c>
      <c r="T77" s="97">
        <v>1.014E-2</v>
      </c>
      <c r="U77" s="98">
        <v>7.8072000000000003E-3</v>
      </c>
      <c r="V77" s="99">
        <v>1.2548999999999999E-2</v>
      </c>
      <c r="W77" s="98">
        <v>5.2345999999999998E-3</v>
      </c>
      <c r="X77" s="99">
        <v>9.5832999999999995E-3</v>
      </c>
      <c r="Y77" s="100">
        <v>8.9797157999999995E-3</v>
      </c>
      <c r="Z77" s="100">
        <v>1.38316328E-2</v>
      </c>
      <c r="AA77" s="100">
        <v>6.3149382E-3</v>
      </c>
      <c r="AB77" s="100">
        <v>1.0451949699999999E-2</v>
      </c>
      <c r="AC77" s="95">
        <v>3.4000000000000002E-2</v>
      </c>
      <c r="AD77" s="95">
        <v>3.9640000000000002E-2</v>
      </c>
      <c r="AE77" s="95">
        <v>3.175E-2</v>
      </c>
      <c r="AF77" s="95">
        <v>2.5426000000000001E-2</v>
      </c>
      <c r="AG77" s="95">
        <v>2.4309999999999998E-2</v>
      </c>
      <c r="AH77" s="95">
        <v>3.3220699999999999E-2</v>
      </c>
      <c r="AI77" s="95">
        <v>3.175E-2</v>
      </c>
      <c r="AJ77" s="95">
        <v>2.1100000000000001E-2</v>
      </c>
      <c r="AK77" s="95">
        <v>2.7609999999999999E-2</v>
      </c>
      <c r="AL77" s="95">
        <v>2.5420000000000002E-2</v>
      </c>
      <c r="AM77" s="97">
        <v>3.1620000000000002E-2</v>
      </c>
      <c r="AN77" s="95">
        <v>9.5630000000000003E-3</v>
      </c>
      <c r="AO77" s="95">
        <v>2.1260000000000001E-2</v>
      </c>
      <c r="AP77" s="101">
        <v>7.064E-3</v>
      </c>
      <c r="AQ77" s="101">
        <v>7.8490000000000001E-3</v>
      </c>
      <c r="AR77" s="101">
        <v>1.7323999999999999E-2</v>
      </c>
      <c r="AS77" s="101">
        <v>1.5592E-2</v>
      </c>
      <c r="AT77" s="101">
        <v>8.6359999999999996E-3</v>
      </c>
      <c r="AU77" s="101">
        <v>1.4534999999999999E-2</v>
      </c>
      <c r="AV77" s="95">
        <v>6.8875000000000004E-3</v>
      </c>
      <c r="AW77" s="95">
        <v>2.8013E-2</v>
      </c>
      <c r="AX77" s="95">
        <v>2.62423E-2</v>
      </c>
      <c r="AY77" s="95">
        <v>1.8071E-2</v>
      </c>
      <c r="AZ77" s="101">
        <v>1.3697000000000001E-2</v>
      </c>
      <c r="BA77" s="101" t="s">
        <v>70</v>
      </c>
      <c r="BB77" s="95">
        <v>3.2899999999999999E-2</v>
      </c>
      <c r="BC77" s="95">
        <v>5.1560000000000002E-2</v>
      </c>
      <c r="BD77" s="95">
        <v>1.9804782385794247E-2</v>
      </c>
      <c r="BE77" s="95">
        <v>1.9569493300031361E-2</v>
      </c>
      <c r="BF77" s="95">
        <v>1.9280697255514425E-2</v>
      </c>
      <c r="BG77" s="101">
        <v>1.8981158032042676E-2</v>
      </c>
      <c r="BH77" s="95">
        <v>2.2939999999999999E-2</v>
      </c>
      <c r="BI77" s="101">
        <v>3.5270000000000003E-2</v>
      </c>
      <c r="BJ77" s="95">
        <v>9.7059999999999994E-3</v>
      </c>
      <c r="BK77" s="95">
        <v>1.2737E-2</v>
      </c>
      <c r="BL77" s="95">
        <v>5.6340000000000001E-2</v>
      </c>
      <c r="BM77" s="95">
        <v>3.9799000000000001E-2</v>
      </c>
      <c r="BN77" s="95">
        <v>4.6475000000000002E-2</v>
      </c>
      <c r="BO77" s="101">
        <v>1.7010000000000001E-2</v>
      </c>
      <c r="BP77" s="101">
        <v>2.7231999999999999E-2</v>
      </c>
      <c r="BQ77" s="101">
        <v>2.2561999999999999E-2</v>
      </c>
      <c r="BR77" s="101">
        <v>9.2860000000000009E-3</v>
      </c>
      <c r="BS77" s="101">
        <v>1.5629000000000001E-2</v>
      </c>
      <c r="BT77" s="95">
        <v>2.622E-2</v>
      </c>
      <c r="BU77" s="95">
        <v>3.175E-2</v>
      </c>
      <c r="BV77" s="97">
        <v>5.9400000000000001E-2</v>
      </c>
      <c r="BW77" s="97">
        <v>7.080112332606503E-2</v>
      </c>
      <c r="BX77" s="97">
        <v>0.115</v>
      </c>
      <c r="BY77" s="97">
        <v>6.2799999999999995E-2</v>
      </c>
      <c r="BZ77" s="96">
        <v>6.2899999999999998E-2</v>
      </c>
      <c r="CA77" s="97"/>
      <c r="CB77" s="97">
        <v>2.8025999999999999E-2</v>
      </c>
      <c r="CC77" s="97">
        <v>5.0174000000000003E-2</v>
      </c>
      <c r="CD77" s="97">
        <v>7.2999999999999995E-2</v>
      </c>
      <c r="CE77" s="97">
        <v>5.5999999999999995E-4</v>
      </c>
      <c r="CF77" s="97">
        <v>4.4650000000000002E-2</v>
      </c>
      <c r="CG77" s="96">
        <v>6.2899999999999998E-2</v>
      </c>
      <c r="CH77" s="96">
        <v>6.2899999999999998E-2</v>
      </c>
      <c r="CI77" s="95">
        <v>1.0182999999999999E-2</v>
      </c>
      <c r="CJ77" s="95">
        <v>5.4200000000000003E-3</v>
      </c>
      <c r="CK77" s="101">
        <v>2.1870000000000001E-2</v>
      </c>
      <c r="CL77" s="96">
        <v>5.91E-2</v>
      </c>
      <c r="CM77" s="101">
        <v>1.9900000000000001E-2</v>
      </c>
      <c r="CN77" s="101">
        <v>8.3599999999999994E-2</v>
      </c>
      <c r="CO77" s="95">
        <v>2.7560000000000001E-2</v>
      </c>
      <c r="CP77" s="95">
        <v>2.63E-2</v>
      </c>
      <c r="CQ77" s="101"/>
      <c r="CR77" s="95">
        <v>0.03</v>
      </c>
      <c r="CS77" s="95">
        <v>2.001E-2</v>
      </c>
      <c r="CT77" s="95">
        <v>2.46E-2</v>
      </c>
      <c r="CU77" s="95">
        <v>1.6400000000000001E-2</v>
      </c>
      <c r="CV77" s="95">
        <v>9.58E-3</v>
      </c>
      <c r="CW77" s="95">
        <v>1.54E-2</v>
      </c>
      <c r="CX77" s="95">
        <v>7.6300000000000007E-2</v>
      </c>
      <c r="CY77" s="104">
        <v>19.382999999999999</v>
      </c>
      <c r="CZ77" s="104">
        <v>11.736000000000001</v>
      </c>
      <c r="DA77" s="104">
        <v>19.260000000000002</v>
      </c>
      <c r="DB77" s="104">
        <v>16.38</v>
      </c>
      <c r="DC77" s="104">
        <v>19.32</v>
      </c>
      <c r="DD77" s="104">
        <v>19.87</v>
      </c>
    </row>
    <row r="78" spans="1:108">
      <c r="A78" s="54">
        <v>66</v>
      </c>
      <c r="B78" s="95">
        <v>2.777E-2</v>
      </c>
      <c r="C78" s="95">
        <v>4.3709999999999999E-2</v>
      </c>
      <c r="D78" s="96">
        <v>6.8780000000000004E-3</v>
      </c>
      <c r="E78" s="96">
        <v>1.1016E-2</v>
      </c>
      <c r="F78" s="95">
        <v>7.7340000000000004E-3</v>
      </c>
      <c r="G78" s="95">
        <v>1.2187999999999999E-2</v>
      </c>
      <c r="H78" s="95">
        <v>1.3759E-2</v>
      </c>
      <c r="I78" s="95">
        <v>2.503E-2</v>
      </c>
      <c r="J78" s="95">
        <v>2.6411999999999998E-2</v>
      </c>
      <c r="K78" s="95">
        <v>2.2256000000000001E-2</v>
      </c>
      <c r="L78" s="95">
        <v>1.8769999999999998E-2</v>
      </c>
      <c r="M78" s="95">
        <v>9.1140000000000006E-3</v>
      </c>
      <c r="N78" s="95">
        <v>8.09E-3</v>
      </c>
      <c r="O78" s="95">
        <v>1.5761000000000001E-2</v>
      </c>
      <c r="P78" s="95">
        <v>1.4199E-2</v>
      </c>
      <c r="Q78" s="97">
        <v>7.7799999999999996E-3</v>
      </c>
      <c r="R78" s="97">
        <v>1.481E-2</v>
      </c>
      <c r="S78" s="97">
        <v>6.4799999999999996E-3</v>
      </c>
      <c r="T78" s="97">
        <v>1.107E-2</v>
      </c>
      <c r="U78" s="98">
        <v>8.4052999999999992E-3</v>
      </c>
      <c r="V78" s="99">
        <v>1.35129E-2</v>
      </c>
      <c r="W78" s="98">
        <v>5.7863999999999997E-3</v>
      </c>
      <c r="X78" s="99">
        <v>1.05349E-2</v>
      </c>
      <c r="Y78" s="100">
        <v>9.8449947999999995E-3</v>
      </c>
      <c r="Z78" s="100">
        <v>1.51510872E-2</v>
      </c>
      <c r="AA78" s="100">
        <v>6.9471667000000001E-3</v>
      </c>
      <c r="AB78" s="100">
        <v>1.14859391E-2</v>
      </c>
      <c r="AC78" s="95">
        <v>3.6999999999999998E-2</v>
      </c>
      <c r="AD78" s="95">
        <v>4.2959999999999998E-2</v>
      </c>
      <c r="AE78" s="95">
        <v>3.474E-2</v>
      </c>
      <c r="AF78" s="95">
        <v>2.7788400000000001E-2</v>
      </c>
      <c r="AG78" s="95">
        <v>2.657E-2</v>
      </c>
      <c r="AH78" s="95">
        <v>3.6360900000000002E-2</v>
      </c>
      <c r="AI78" s="95">
        <v>3.474E-2</v>
      </c>
      <c r="AJ78" s="95">
        <v>2.3089999999999999E-2</v>
      </c>
      <c r="AK78" s="95">
        <v>3.0210000000000001E-2</v>
      </c>
      <c r="AL78" s="95">
        <v>2.785E-2</v>
      </c>
      <c r="AM78" s="97">
        <v>3.4363999999999999E-2</v>
      </c>
      <c r="AN78" s="95">
        <v>1.0565E-2</v>
      </c>
      <c r="AO78" s="95">
        <v>2.3643000000000001E-2</v>
      </c>
      <c r="AP78" s="101">
        <v>7.8169999999999993E-3</v>
      </c>
      <c r="AQ78" s="101">
        <v>8.6859999999999993E-3</v>
      </c>
      <c r="AR78" s="101">
        <v>1.9532000000000001E-2</v>
      </c>
      <c r="AS78" s="101">
        <v>1.7579000000000001E-2</v>
      </c>
      <c r="AT78" s="101">
        <v>9.6939999999999995E-3</v>
      </c>
      <c r="AU78" s="101">
        <v>1.6239E-2</v>
      </c>
      <c r="AV78" s="95">
        <v>7.9056999999999999E-3</v>
      </c>
      <c r="AW78" s="95">
        <v>3.0776000000000001E-2</v>
      </c>
      <c r="AX78" s="95">
        <v>2.89249E-2</v>
      </c>
      <c r="AY78" s="95">
        <v>2.0031E-2</v>
      </c>
      <c r="AZ78" s="101">
        <v>1.464E-2</v>
      </c>
      <c r="BA78" s="101" t="s">
        <v>71</v>
      </c>
      <c r="BB78" s="95">
        <v>3.4840000000000003E-2</v>
      </c>
      <c r="BC78" s="95">
        <v>5.5899999999999998E-2</v>
      </c>
      <c r="BD78" s="95">
        <v>2.127614249666036E-2</v>
      </c>
      <c r="BE78" s="95">
        <v>2.1042287585135457E-2</v>
      </c>
      <c r="BF78" s="95">
        <v>2.0731349975280998E-2</v>
      </c>
      <c r="BG78" s="101">
        <v>2.0412846836404569E-2</v>
      </c>
      <c r="BH78" s="95">
        <v>2.5211999999999998E-2</v>
      </c>
      <c r="BI78" s="101">
        <v>3.8190000000000002E-2</v>
      </c>
      <c r="BJ78" s="95">
        <v>1.0954E-2</v>
      </c>
      <c r="BK78" s="95">
        <v>1.4409E-2</v>
      </c>
      <c r="BL78" s="95">
        <v>6.1814000000000001E-2</v>
      </c>
      <c r="BM78" s="95">
        <v>4.3444999999999998E-2</v>
      </c>
      <c r="BN78" s="95">
        <v>5.0994999999999999E-2</v>
      </c>
      <c r="BO78" s="101">
        <v>1.8685E-2</v>
      </c>
      <c r="BP78" s="101">
        <v>2.9634000000000001E-2</v>
      </c>
      <c r="BQ78" s="101">
        <v>2.4847000000000001E-2</v>
      </c>
      <c r="BR78" s="101">
        <v>1.0423E-2</v>
      </c>
      <c r="BS78" s="101">
        <v>1.7461999999999998E-2</v>
      </c>
      <c r="BT78" s="95">
        <v>2.828E-2</v>
      </c>
      <c r="BU78" s="95">
        <v>3.474E-2</v>
      </c>
      <c r="BV78" s="97">
        <v>6.1899999999999997E-2</v>
      </c>
      <c r="BW78" s="97">
        <v>7.2298105349981934E-2</v>
      </c>
      <c r="BX78" s="97">
        <v>0.115</v>
      </c>
      <c r="BY78" s="97">
        <v>6.3299999999999995E-2</v>
      </c>
      <c r="BZ78" s="96">
        <v>6.5299999999999997E-2</v>
      </c>
      <c r="CA78" s="97"/>
      <c r="CB78" s="97">
        <v>2.9593999999999999E-2</v>
      </c>
      <c r="CC78" s="97">
        <v>5.2213000000000002E-2</v>
      </c>
      <c r="CD78" s="97">
        <v>7.5999999999999998E-2</v>
      </c>
      <c r="CE78" s="97">
        <v>6.7000000000000002E-4</v>
      </c>
      <c r="CF78" s="97">
        <v>4.6949999999999999E-2</v>
      </c>
      <c r="CG78" s="96">
        <v>6.5299999999999997E-2</v>
      </c>
      <c r="CH78" s="96">
        <v>6.5299999999999997E-2</v>
      </c>
      <c r="CI78" s="95">
        <v>1.1542E-2</v>
      </c>
      <c r="CJ78" s="95">
        <v>6.28E-3</v>
      </c>
      <c r="CK78" s="101">
        <v>2.3439999999999999E-2</v>
      </c>
      <c r="CL78" s="96">
        <v>5.8999999999999997E-2</v>
      </c>
      <c r="CM78" s="101">
        <v>2.2499999999999999E-2</v>
      </c>
      <c r="CN78" s="101">
        <v>9.2899999999999996E-2</v>
      </c>
      <c r="CO78" s="95">
        <v>2.9069999999999999E-2</v>
      </c>
      <c r="CP78" s="95">
        <v>2.9530000000000001E-2</v>
      </c>
      <c r="CQ78" s="101"/>
      <c r="CR78" s="95"/>
      <c r="CS78" s="95">
        <v>1.6480000000000002E-2</v>
      </c>
      <c r="CT78" s="95">
        <v>2.46E-2</v>
      </c>
      <c r="CU78" s="95">
        <v>1.6400000000000001E-2</v>
      </c>
      <c r="CV78" s="95">
        <v>1.158E-2</v>
      </c>
      <c r="CW78" s="95">
        <v>1.6219999999999998E-2</v>
      </c>
      <c r="CX78" s="95">
        <v>8.2930000000000004E-2</v>
      </c>
      <c r="CY78" s="104">
        <v>20.257999999999999</v>
      </c>
      <c r="CZ78" s="104">
        <v>15.161</v>
      </c>
      <c r="DA78" s="104">
        <v>19.95</v>
      </c>
      <c r="DB78" s="104">
        <v>16.97</v>
      </c>
      <c r="DC78" s="104">
        <v>19.96</v>
      </c>
      <c r="DD78" s="104">
        <v>20.39</v>
      </c>
    </row>
    <row r="79" spans="1:108">
      <c r="A79" s="54">
        <v>67</v>
      </c>
      <c r="B79" s="95">
        <v>3.0700000000000002E-2</v>
      </c>
      <c r="C79" s="95">
        <v>4.7649999999999998E-2</v>
      </c>
      <c r="D79" s="96">
        <v>7.5550000000000001E-3</v>
      </c>
      <c r="E79" s="96">
        <v>1.2251E-2</v>
      </c>
      <c r="F79" s="95">
        <v>8.4910000000000003E-3</v>
      </c>
      <c r="G79" s="95">
        <v>1.3572000000000001E-2</v>
      </c>
      <c r="H79" s="95">
        <v>1.5272000000000001E-2</v>
      </c>
      <c r="I79" s="95">
        <v>2.7192999999999998E-2</v>
      </c>
      <c r="J79" s="95">
        <v>2.9045000000000001E-2</v>
      </c>
      <c r="K79" s="95">
        <v>2.4490999999999999E-2</v>
      </c>
      <c r="L79" s="95">
        <v>2.0289999999999999E-2</v>
      </c>
      <c r="M79" s="95">
        <v>1.0012E-2</v>
      </c>
      <c r="N79" s="95">
        <v>8.8880000000000001E-3</v>
      </c>
      <c r="O79" s="95">
        <v>1.7467E-2</v>
      </c>
      <c r="P79" s="95">
        <v>1.5716999999999998E-2</v>
      </c>
      <c r="Q79" s="97">
        <v>8.5000000000000006E-3</v>
      </c>
      <c r="R79" s="97">
        <v>1.6160000000000001E-2</v>
      </c>
      <c r="S79" s="97">
        <v>7.1000000000000004E-3</v>
      </c>
      <c r="T79" s="97">
        <v>1.21E-2</v>
      </c>
      <c r="U79" s="98">
        <v>9.0413999999999998E-3</v>
      </c>
      <c r="V79" s="99">
        <v>1.43795E-2</v>
      </c>
      <c r="W79" s="98">
        <v>6.3930000000000002E-3</v>
      </c>
      <c r="X79" s="99">
        <v>1.14564E-2</v>
      </c>
      <c r="Y79" s="100">
        <v>1.07955489E-2</v>
      </c>
      <c r="Z79" s="100">
        <v>1.6596063899999999E-2</v>
      </c>
      <c r="AA79" s="100">
        <v>7.6430379999999996E-3</v>
      </c>
      <c r="AB79" s="100">
        <v>1.26237559E-2</v>
      </c>
      <c r="AC79" s="95">
        <v>4.0320000000000002E-2</v>
      </c>
      <c r="AD79" s="95">
        <v>4.6559999999999997E-2</v>
      </c>
      <c r="AE79" s="95">
        <v>3.8039999999999997E-2</v>
      </c>
      <c r="AF79" s="95">
        <v>3.0375099999999999E-2</v>
      </c>
      <c r="AG79" s="95">
        <v>2.904E-2</v>
      </c>
      <c r="AH79" s="95">
        <v>3.9824699999999998E-2</v>
      </c>
      <c r="AI79" s="95">
        <v>3.8039999999999997E-2</v>
      </c>
      <c r="AJ79" s="95">
        <v>2.5250000000000002E-2</v>
      </c>
      <c r="AK79" s="95">
        <v>3.3079999999999998E-2</v>
      </c>
      <c r="AL79" s="95">
        <v>3.0440000000000002E-2</v>
      </c>
      <c r="AM79" s="97">
        <v>3.7394999999999998E-2</v>
      </c>
      <c r="AN79" s="95">
        <v>1.1620999999999999E-2</v>
      </c>
      <c r="AO79" s="95">
        <v>2.6315999999999999E-2</v>
      </c>
      <c r="AP79" s="101">
        <v>8.6809999999999995E-3</v>
      </c>
      <c r="AQ79" s="101">
        <v>9.6460000000000001E-3</v>
      </c>
      <c r="AR79" s="101">
        <v>2.2003999999999999E-2</v>
      </c>
      <c r="AS79" s="101">
        <v>1.9803999999999999E-2</v>
      </c>
      <c r="AT79" s="101">
        <v>1.0763999999999999E-2</v>
      </c>
      <c r="AU79" s="101">
        <v>1.8034000000000001E-2</v>
      </c>
      <c r="AV79" s="95">
        <v>9.1493000000000008E-3</v>
      </c>
      <c r="AW79" s="95">
        <v>3.3806999999999997E-2</v>
      </c>
      <c r="AX79" s="95">
        <v>3.1873100000000001E-2</v>
      </c>
      <c r="AY79" s="95">
        <v>2.2341999999999997E-2</v>
      </c>
      <c r="AZ79" s="101">
        <v>1.5691E-2</v>
      </c>
      <c r="BA79" s="101" t="s">
        <v>72</v>
      </c>
      <c r="BB79" s="95">
        <v>3.6970000000000003E-2</v>
      </c>
      <c r="BC79" s="95">
        <v>6.0690000000000001E-2</v>
      </c>
      <c r="BD79" s="95">
        <v>2.2948175763045975E-2</v>
      </c>
      <c r="BE79" s="95">
        <v>2.2715373181925326E-2</v>
      </c>
      <c r="BF79" s="95">
        <v>2.2386094811834383E-2</v>
      </c>
      <c r="BG79" s="101">
        <v>2.2050737777604936E-2</v>
      </c>
      <c r="BH79" s="95">
        <v>2.7729E-2</v>
      </c>
      <c r="BI79" s="101">
        <v>4.1399999999999999E-2</v>
      </c>
      <c r="BJ79" s="95">
        <v>1.2163E-2</v>
      </c>
      <c r="BK79" s="95">
        <v>1.6074999999999999E-2</v>
      </c>
      <c r="BL79" s="95">
        <v>6.7821999999999993E-2</v>
      </c>
      <c r="BM79" s="95">
        <v>4.7490999999999998E-2</v>
      </c>
      <c r="BN79" s="95">
        <v>5.5953000000000003E-2</v>
      </c>
      <c r="BO79" s="101">
        <v>2.0517000000000001E-2</v>
      </c>
      <c r="BP79" s="101">
        <v>3.2072999999999997E-2</v>
      </c>
      <c r="BQ79" s="101">
        <v>2.7231999999999999E-2</v>
      </c>
      <c r="BR79" s="101">
        <v>1.1573999999999999E-2</v>
      </c>
      <c r="BS79" s="101">
        <v>1.9390999999999999E-2</v>
      </c>
      <c r="BT79" s="95">
        <v>3.0530000000000002E-2</v>
      </c>
      <c r="BU79" s="95">
        <v>3.8039999999999997E-2</v>
      </c>
      <c r="BV79" s="97">
        <v>6.4100000000000004E-2</v>
      </c>
      <c r="BW79" s="97">
        <v>7.4015751154742682E-2</v>
      </c>
      <c r="BX79" s="97">
        <v>0.115</v>
      </c>
      <c r="BY79" s="97">
        <v>6.4100000000000004E-2</v>
      </c>
      <c r="BZ79" s="96">
        <v>6.8500000000000005E-2</v>
      </c>
      <c r="CA79" s="97"/>
      <c r="CB79" s="97">
        <v>3.1324999999999999E-2</v>
      </c>
      <c r="CC79" s="97">
        <v>5.4449999999999998E-2</v>
      </c>
      <c r="CD79" s="97">
        <v>7.9000000000000001E-2</v>
      </c>
      <c r="CE79" s="97">
        <v>8.3000000000000001E-4</v>
      </c>
      <c r="CF79" s="97">
        <v>4.938E-2</v>
      </c>
      <c r="CG79" s="96">
        <v>6.8500000000000005E-2</v>
      </c>
      <c r="CH79" s="96">
        <v>6.8500000000000005E-2</v>
      </c>
      <c r="CI79" s="95">
        <v>1.3087E-2</v>
      </c>
      <c r="CJ79" s="95">
        <v>7.3000000000000001E-3</v>
      </c>
      <c r="CK79" s="101">
        <v>2.5090000000000001E-2</v>
      </c>
      <c r="CL79" s="96">
        <v>5.8999999999999997E-2</v>
      </c>
      <c r="CM79" s="101">
        <v>2.487E-2</v>
      </c>
      <c r="CN79" s="101">
        <v>0.10340000000000001</v>
      </c>
      <c r="CO79" s="95"/>
      <c r="CP79" s="95">
        <v>1.719E-2</v>
      </c>
      <c r="CQ79" s="101"/>
      <c r="CR79" s="95"/>
      <c r="CS79" s="95">
        <v>1.3899999999999999E-2</v>
      </c>
      <c r="CT79" s="95">
        <v>2.46E-2</v>
      </c>
      <c r="CU79" s="95">
        <v>1.6400000000000001E-2</v>
      </c>
      <c r="CV79" s="95">
        <v>1.4290000000000001E-2</v>
      </c>
      <c r="CW79" s="95">
        <v>1.7100000000000001E-2</v>
      </c>
      <c r="CX79" s="95">
        <v>9.5089999999999994E-2</v>
      </c>
      <c r="CY79" s="104">
        <v>21.41</v>
      </c>
      <c r="CZ79" s="104">
        <v>15.128</v>
      </c>
      <c r="DA79" s="104">
        <v>20.74</v>
      </c>
      <c r="DB79" s="104">
        <v>17.57</v>
      </c>
      <c r="DC79" s="104">
        <v>20.61</v>
      </c>
      <c r="DD79" s="104">
        <v>20.93</v>
      </c>
    </row>
    <row r="80" spans="1:108">
      <c r="A80" s="54">
        <v>68</v>
      </c>
      <c r="B80" s="95">
        <v>3.39E-2</v>
      </c>
      <c r="C80" s="95">
        <v>5.1999999999999998E-2</v>
      </c>
      <c r="D80" s="96">
        <v>8.2869999999999992E-3</v>
      </c>
      <c r="E80" s="96">
        <v>1.3657000000000001E-2</v>
      </c>
      <c r="F80" s="95">
        <v>9.2879999999999994E-3</v>
      </c>
      <c r="G80" s="95">
        <v>1.516E-2</v>
      </c>
      <c r="H80" s="95">
        <v>1.6962999999999999E-2</v>
      </c>
      <c r="I80" s="95">
        <v>2.9576999999999999E-2</v>
      </c>
      <c r="J80" s="95">
        <v>3.1866999999999999E-2</v>
      </c>
      <c r="K80" s="95">
        <v>2.6911000000000001E-2</v>
      </c>
      <c r="L80" s="95">
        <v>2.1989999999999999E-2</v>
      </c>
      <c r="M80" s="95">
        <v>1.0931E-2</v>
      </c>
      <c r="N80" s="95">
        <v>9.7310000000000001E-3</v>
      </c>
      <c r="O80" s="95">
        <v>1.9373000000000001E-2</v>
      </c>
      <c r="P80" s="95">
        <v>1.7413999999999999E-2</v>
      </c>
      <c r="Q80" s="97">
        <v>9.2700000000000005E-3</v>
      </c>
      <c r="R80" s="97">
        <v>1.763E-2</v>
      </c>
      <c r="S80" s="97">
        <v>7.7499999999999999E-3</v>
      </c>
      <c r="T80" s="97">
        <v>1.323E-2</v>
      </c>
      <c r="U80" s="98">
        <v>9.7934000000000007E-3</v>
      </c>
      <c r="V80" s="99">
        <v>1.56326E-2</v>
      </c>
      <c r="W80" s="98">
        <v>7.1060999999999997E-3</v>
      </c>
      <c r="X80" s="99">
        <v>1.24987E-2</v>
      </c>
      <c r="Y80" s="100">
        <v>1.18386959E-2</v>
      </c>
      <c r="Z80" s="100">
        <v>1.8178970999999999E-2</v>
      </c>
      <c r="AA80" s="100">
        <v>8.4090081000000004E-3</v>
      </c>
      <c r="AB80" s="100">
        <v>1.38734835E-2</v>
      </c>
      <c r="AC80" s="95">
        <v>4.4010000000000001E-2</v>
      </c>
      <c r="AD80" s="95">
        <v>5.0459999999999998E-2</v>
      </c>
      <c r="AE80" s="95">
        <v>4.1680000000000002E-2</v>
      </c>
      <c r="AF80" s="95">
        <v>3.3220699999999999E-2</v>
      </c>
      <c r="AG80" s="95">
        <v>3.175E-2</v>
      </c>
      <c r="AH80" s="95">
        <v>4.3603200000000002E-2</v>
      </c>
      <c r="AI80" s="95">
        <v>4.1680000000000002E-2</v>
      </c>
      <c r="AJ80" s="95">
        <v>2.7609999999999999E-2</v>
      </c>
      <c r="AK80" s="95">
        <v>3.6240000000000001E-2</v>
      </c>
      <c r="AL80" s="95">
        <v>3.3189999999999997E-2</v>
      </c>
      <c r="AM80" s="97">
        <v>4.0732999999999998E-2</v>
      </c>
      <c r="AN80" s="95">
        <v>1.2877E-2</v>
      </c>
      <c r="AO80" s="95">
        <v>2.9187999999999999E-2</v>
      </c>
      <c r="AP80" s="101">
        <v>9.7020000000000006E-3</v>
      </c>
      <c r="AQ80" s="101">
        <v>1.078E-2</v>
      </c>
      <c r="AR80" s="101">
        <v>2.4698999999999999E-2</v>
      </c>
      <c r="AS80" s="101">
        <v>2.2228999999999999E-2</v>
      </c>
      <c r="AT80" s="101">
        <v>1.1762999999999999E-2</v>
      </c>
      <c r="AU80" s="101">
        <v>1.9859000000000002E-2</v>
      </c>
      <c r="AV80" s="95">
        <v>1.0623199999999999E-2</v>
      </c>
      <c r="AW80" s="95">
        <v>3.7130999999999997E-2</v>
      </c>
      <c r="AX80" s="95">
        <v>3.5110599999999999E-2</v>
      </c>
      <c r="AY80" s="95">
        <v>2.5002E-2</v>
      </c>
      <c r="AZ80" s="101">
        <v>1.6891E-2</v>
      </c>
      <c r="BA80" s="101" t="s">
        <v>73</v>
      </c>
      <c r="BB80" s="95">
        <v>3.9300000000000002E-2</v>
      </c>
      <c r="BC80" s="95">
        <v>6.5949999999999995E-2</v>
      </c>
      <c r="BD80" s="95">
        <v>2.4870131384635046E-2</v>
      </c>
      <c r="BE80" s="95">
        <v>2.4637073491756284E-2</v>
      </c>
      <c r="BF80" s="95">
        <v>2.4295578789848182E-2</v>
      </c>
      <c r="BG80" s="101">
        <v>2.3946705797410924E-2</v>
      </c>
      <c r="BH80" s="95">
        <v>3.0456E-2</v>
      </c>
      <c r="BI80" s="101">
        <v>4.4909999999999999E-2</v>
      </c>
      <c r="BJ80" s="95">
        <v>1.3445E-2</v>
      </c>
      <c r="BK80" s="95">
        <v>1.7871000000000001E-2</v>
      </c>
      <c r="BL80" s="95">
        <v>7.4414999999999995E-2</v>
      </c>
      <c r="BM80" s="95">
        <v>5.1963000000000002E-2</v>
      </c>
      <c r="BN80" s="95">
        <v>6.1386999999999997E-2</v>
      </c>
      <c r="BO80" s="101">
        <v>2.2561999999999999E-2</v>
      </c>
      <c r="BP80" s="101">
        <v>3.4743000000000003E-2</v>
      </c>
      <c r="BQ80" s="101">
        <v>2.9634000000000001E-2</v>
      </c>
      <c r="BR80" s="101">
        <v>1.2648E-2</v>
      </c>
      <c r="BS80" s="101">
        <v>2.1354000000000001E-2</v>
      </c>
      <c r="BT80" s="95">
        <v>3.3009999999999998E-2</v>
      </c>
      <c r="BU80" s="95">
        <v>4.1680000000000002E-2</v>
      </c>
      <c r="BV80" s="97">
        <v>6.7199999999999996E-2</v>
      </c>
      <c r="BW80" s="97">
        <v>7.5964260194129829E-2</v>
      </c>
      <c r="BX80" s="97">
        <v>0.115</v>
      </c>
      <c r="BY80" s="97">
        <v>6.7199999999999996E-2</v>
      </c>
      <c r="BZ80" s="96">
        <v>7.1499999999999994E-2</v>
      </c>
      <c r="CA80" s="97"/>
      <c r="CB80" s="97">
        <v>3.3234E-2</v>
      </c>
      <c r="CC80" s="97">
        <v>5.6909000000000001E-2</v>
      </c>
      <c r="CD80" s="97">
        <v>8.2000000000000003E-2</v>
      </c>
      <c r="CE80" s="97">
        <v>1.0399999999999999E-3</v>
      </c>
      <c r="CF80" s="97">
        <v>5.1950000000000003E-2</v>
      </c>
      <c r="CG80" s="96">
        <v>7.1499999999999994E-2</v>
      </c>
      <c r="CH80" s="96">
        <v>7.1499999999999994E-2</v>
      </c>
      <c r="CI80" s="95">
        <v>1.4847000000000001E-2</v>
      </c>
      <c r="CJ80" s="95">
        <v>8.8000000000000005E-3</v>
      </c>
      <c r="CK80" s="101">
        <v>2.682E-2</v>
      </c>
      <c r="CL80" s="96">
        <v>5.9200000000000003E-2</v>
      </c>
      <c r="CM80" s="101">
        <v>2.7810000000000001E-2</v>
      </c>
      <c r="CN80" s="101">
        <v>0.115</v>
      </c>
      <c r="CO80" s="95"/>
      <c r="CP80" s="95">
        <v>1.9949999999999999E-2</v>
      </c>
      <c r="CQ80" s="101"/>
      <c r="CR80" s="95"/>
      <c r="CS80" s="95">
        <v>1.1379999999999999E-2</v>
      </c>
      <c r="CT80" s="95">
        <v>2.46E-2</v>
      </c>
      <c r="CU80" s="95">
        <v>1.6400000000000001E-2</v>
      </c>
      <c r="CV80" s="95">
        <v>1.7909999999999999E-2</v>
      </c>
      <c r="CW80" s="95">
        <v>1.804E-2</v>
      </c>
      <c r="CX80" s="95">
        <v>0.11103</v>
      </c>
      <c r="CY80" s="104">
        <v>21.991</v>
      </c>
      <c r="CZ80" s="104">
        <v>15.5</v>
      </c>
      <c r="DA80" s="104">
        <v>21.8</v>
      </c>
      <c r="DB80" s="104">
        <v>18.18</v>
      </c>
      <c r="DC80" s="104">
        <v>21.26</v>
      </c>
      <c r="DD80" s="104">
        <v>21.17</v>
      </c>
    </row>
    <row r="81" spans="1:108">
      <c r="A81" s="54">
        <v>69</v>
      </c>
      <c r="B81" s="95">
        <v>3.7409999999999999E-2</v>
      </c>
      <c r="C81" s="95">
        <v>5.6759999999999998E-2</v>
      </c>
      <c r="D81" s="96">
        <v>9.1020000000000007E-3</v>
      </c>
      <c r="E81" s="96">
        <v>1.5233E-2</v>
      </c>
      <c r="F81" s="95">
        <v>1.0163E-2</v>
      </c>
      <c r="G81" s="95">
        <v>1.6945999999999999E-2</v>
      </c>
      <c r="H81" s="95">
        <v>1.8853000000000002E-2</v>
      </c>
      <c r="I81" s="95">
        <v>3.2202000000000001E-2</v>
      </c>
      <c r="J81" s="95">
        <v>3.4835999999999999E-2</v>
      </c>
      <c r="K81" s="95">
        <v>2.9530999999999998E-2</v>
      </c>
      <c r="L81" s="95">
        <v>2.3890000000000002E-2</v>
      </c>
      <c r="M81" s="95">
        <v>1.1916E-2</v>
      </c>
      <c r="N81" s="95">
        <v>1.0652999999999999E-2</v>
      </c>
      <c r="O81" s="95">
        <v>2.1486000000000002E-2</v>
      </c>
      <c r="P81" s="95">
        <v>1.9296000000000001E-2</v>
      </c>
      <c r="Q81" s="97">
        <v>1.009E-2</v>
      </c>
      <c r="R81" s="97">
        <v>1.925E-2</v>
      </c>
      <c r="S81" s="97">
        <v>8.43E-3</v>
      </c>
      <c r="T81" s="97">
        <v>1.4460000000000001E-2</v>
      </c>
      <c r="U81" s="98">
        <v>1.05983E-2</v>
      </c>
      <c r="V81" s="99">
        <v>1.6794300000000002E-2</v>
      </c>
      <c r="W81" s="98">
        <v>7.9214000000000003E-3</v>
      </c>
      <c r="X81" s="99">
        <v>1.3597400000000001E-2</v>
      </c>
      <c r="Y81" s="100">
        <v>1.29839252E-2</v>
      </c>
      <c r="Z81" s="100">
        <v>1.99136179E-2</v>
      </c>
      <c r="AA81" s="100">
        <v>9.2516938000000003E-3</v>
      </c>
      <c r="AB81" s="100">
        <v>1.52496783E-2</v>
      </c>
      <c r="AC81" s="95">
        <v>4.8030000000000003E-2</v>
      </c>
      <c r="AD81" s="95">
        <v>5.4699999999999999E-2</v>
      </c>
      <c r="AE81" s="95">
        <v>4.5609999999999998E-2</v>
      </c>
      <c r="AF81" s="95">
        <v>3.6360900000000002E-2</v>
      </c>
      <c r="AG81" s="95">
        <v>3.474E-2</v>
      </c>
      <c r="AH81" s="95">
        <v>4.7651199999999998E-2</v>
      </c>
      <c r="AI81" s="95">
        <v>4.5609999999999998E-2</v>
      </c>
      <c r="AJ81" s="95">
        <v>3.0210000000000001E-2</v>
      </c>
      <c r="AK81" s="95">
        <v>3.9660000000000001E-2</v>
      </c>
      <c r="AL81" s="95">
        <v>3.6170000000000001E-2</v>
      </c>
      <c r="AM81" s="97">
        <v>4.437E-2</v>
      </c>
      <c r="AN81" s="95">
        <v>1.4461E-2</v>
      </c>
      <c r="AO81" s="95">
        <v>3.2434999999999999E-2</v>
      </c>
      <c r="AP81" s="101">
        <v>1.0921999999999999E-2</v>
      </c>
      <c r="AQ81" s="101">
        <v>1.2135E-2</v>
      </c>
      <c r="AR81" s="101">
        <v>2.7574000000000001E-2</v>
      </c>
      <c r="AS81" s="101">
        <v>2.4816999999999999E-2</v>
      </c>
      <c r="AT81" s="101">
        <v>1.2709E-2</v>
      </c>
      <c r="AU81" s="101">
        <v>2.1728999999999998E-2</v>
      </c>
      <c r="AV81" s="95">
        <v>1.2331999999999999E-2</v>
      </c>
      <c r="AW81" s="95">
        <v>4.0774999999999999E-2</v>
      </c>
      <c r="AX81" s="95">
        <v>3.8662299999999997E-2</v>
      </c>
      <c r="AY81" s="95">
        <v>2.8012000000000002E-2</v>
      </c>
      <c r="AZ81" s="101">
        <v>1.8277999999999999E-2</v>
      </c>
      <c r="BA81" s="101" t="s">
        <v>74</v>
      </c>
      <c r="BB81" s="95">
        <v>4.1799999999999997E-2</v>
      </c>
      <c r="BC81" s="95">
        <v>7.1709999999999996E-2</v>
      </c>
      <c r="BD81" s="95">
        <v>2.7027212445952294E-2</v>
      </c>
      <c r="BE81" s="95">
        <v>2.679275950057641E-2</v>
      </c>
      <c r="BF81" s="95">
        <v>2.6443491600374434E-2</v>
      </c>
      <c r="BG81" s="101">
        <v>2.608347167650505E-2</v>
      </c>
      <c r="BH81" s="95">
        <v>3.3352E-2</v>
      </c>
      <c r="BI81" s="101">
        <v>4.8759999999999998E-2</v>
      </c>
      <c r="BJ81" s="95">
        <v>1.486E-2</v>
      </c>
      <c r="BK81" s="95">
        <v>1.9802E-2</v>
      </c>
      <c r="BL81" s="95">
        <v>8.1642000000000006E-2</v>
      </c>
      <c r="BM81" s="95">
        <v>5.6855000000000003E-2</v>
      </c>
      <c r="BN81" s="95">
        <v>6.7340999999999998E-2</v>
      </c>
      <c r="BO81" s="101">
        <v>2.4847000000000001E-2</v>
      </c>
      <c r="BP81" s="101">
        <v>3.7666999999999999E-2</v>
      </c>
      <c r="BQ81" s="101">
        <v>3.2072999999999997E-2</v>
      </c>
      <c r="BR81" s="101">
        <v>1.3665E-2</v>
      </c>
      <c r="BS81" s="101">
        <v>2.3363999999999999E-2</v>
      </c>
      <c r="BT81" s="95">
        <v>3.5729999999999998E-2</v>
      </c>
      <c r="BU81" s="95">
        <v>4.5609999999999998E-2</v>
      </c>
      <c r="BV81" s="97">
        <v>7.1199999999999999E-2</v>
      </c>
      <c r="BW81" s="97">
        <v>7.8154448453127467E-2</v>
      </c>
      <c r="BX81" s="97">
        <v>0.115</v>
      </c>
      <c r="BY81" s="97">
        <v>7.1199999999999999E-2</v>
      </c>
      <c r="BZ81" s="96">
        <v>7.4999999999999997E-2</v>
      </c>
      <c r="CA81" s="97"/>
      <c r="CB81" s="97">
        <v>3.5334999999999998E-2</v>
      </c>
      <c r="CC81" s="97">
        <v>5.9612999999999999E-2</v>
      </c>
      <c r="CD81" s="97">
        <v>8.5999999999999993E-2</v>
      </c>
      <c r="CE81" s="97">
        <v>1.32E-3</v>
      </c>
      <c r="CF81" s="97">
        <v>5.466E-2</v>
      </c>
      <c r="CG81" s="96">
        <v>7.4399999999999994E-2</v>
      </c>
      <c r="CH81" s="96">
        <v>7.4380000000000002E-2</v>
      </c>
      <c r="CI81" s="95">
        <v>1.6851999999999999E-2</v>
      </c>
      <c r="CJ81" s="95">
        <v>1.057E-2</v>
      </c>
      <c r="CK81" s="101">
        <v>2.8629999999999999E-2</v>
      </c>
      <c r="CL81" s="96">
        <v>5.9900000000000002E-2</v>
      </c>
      <c r="CM81" s="101">
        <v>3.109E-2</v>
      </c>
      <c r="CN81" s="101">
        <v>0.12790000000000001</v>
      </c>
      <c r="CO81" s="95"/>
      <c r="CP81" s="95">
        <v>2.3099999999999999E-2</v>
      </c>
      <c r="CQ81" s="101"/>
      <c r="CR81" s="95"/>
      <c r="CS81" s="95">
        <v>9.1599999999999997E-3</v>
      </c>
      <c r="CT81" s="95">
        <v>2.46E-2</v>
      </c>
      <c r="CU81" s="95">
        <v>1.6400000000000001E-2</v>
      </c>
      <c r="CV81" s="95">
        <v>2.2800000000000001E-2</v>
      </c>
      <c r="CW81" s="95">
        <v>1.9019999999999999E-2</v>
      </c>
      <c r="CX81" s="95">
        <v>0.12901000000000001</v>
      </c>
      <c r="CY81" s="104">
        <v>22.728999999999999</v>
      </c>
      <c r="CZ81" s="104">
        <v>16.187999999999999</v>
      </c>
      <c r="DA81" s="104">
        <v>23.5</v>
      </c>
      <c r="DB81" s="104">
        <v>18.809999999999999</v>
      </c>
      <c r="DC81" s="104">
        <v>21.92</v>
      </c>
      <c r="DD81" s="104">
        <v>22.03</v>
      </c>
    </row>
    <row r="82" spans="1:108">
      <c r="A82" s="54">
        <v>70</v>
      </c>
      <c r="B82" s="95">
        <v>4.1230000000000003E-2</v>
      </c>
      <c r="C82" s="95">
        <v>6.1990000000000003E-2</v>
      </c>
      <c r="D82" s="96">
        <v>1.0034E-2</v>
      </c>
      <c r="E82" s="96">
        <v>1.6979000000000001E-2</v>
      </c>
      <c r="F82" s="95">
        <v>1.1165E-2</v>
      </c>
      <c r="G82" s="95">
        <v>1.8919999999999999E-2</v>
      </c>
      <c r="H82" s="95">
        <v>2.0964E-2</v>
      </c>
      <c r="I82" s="95">
        <v>3.5091999999999998E-2</v>
      </c>
      <c r="J82" s="95">
        <v>3.7915999999999998E-2</v>
      </c>
      <c r="K82" s="95">
        <v>3.2367E-2</v>
      </c>
      <c r="L82" s="95">
        <v>2.5999999999999999E-2</v>
      </c>
      <c r="M82" s="95">
        <v>1.3027E-2</v>
      </c>
      <c r="N82" s="95">
        <v>1.1697000000000001E-2</v>
      </c>
      <c r="O82" s="95">
        <v>2.3810000000000001E-2</v>
      </c>
      <c r="P82" s="95">
        <v>2.1371000000000001E-2</v>
      </c>
      <c r="Q82" s="97">
        <v>1.0999999999999999E-2</v>
      </c>
      <c r="R82" s="97">
        <v>2.102E-2</v>
      </c>
      <c r="S82" s="97">
        <v>9.1900000000000003E-3</v>
      </c>
      <c r="T82" s="97">
        <v>1.5810000000000001E-2</v>
      </c>
      <c r="U82" s="98">
        <v>1.15216E-2</v>
      </c>
      <c r="V82" s="99">
        <v>1.83789E-2</v>
      </c>
      <c r="W82" s="98">
        <v>8.8362000000000007E-3</v>
      </c>
      <c r="X82" s="99">
        <v>1.50356E-2</v>
      </c>
      <c r="Y82" s="100">
        <v>1.4241228599999999E-2</v>
      </c>
      <c r="Z82" s="100">
        <v>2.18137531E-2</v>
      </c>
      <c r="AA82" s="100">
        <v>1.0180096899999999E-2</v>
      </c>
      <c r="AB82" s="100">
        <v>1.6763551799999998E-2</v>
      </c>
      <c r="AC82" s="95">
        <v>5.2330000000000002E-2</v>
      </c>
      <c r="AD82" s="95">
        <v>5.9299999999999999E-2</v>
      </c>
      <c r="AE82" s="95">
        <v>4.9790000000000001E-2</v>
      </c>
      <c r="AF82" s="95">
        <v>3.9824699999999998E-2</v>
      </c>
      <c r="AG82" s="95">
        <v>3.8039999999999997E-2</v>
      </c>
      <c r="AH82" s="95">
        <v>5.1914399999999999E-2</v>
      </c>
      <c r="AI82" s="95">
        <v>4.9790000000000001E-2</v>
      </c>
      <c r="AJ82" s="95">
        <v>3.3079999999999998E-2</v>
      </c>
      <c r="AK82" s="95">
        <v>4.3299999999999998E-2</v>
      </c>
      <c r="AL82" s="95">
        <v>3.9509999999999997E-2</v>
      </c>
      <c r="AM82" s="97">
        <v>4.8238999999999997E-2</v>
      </c>
      <c r="AN82" s="95">
        <v>1.6476999999999999E-2</v>
      </c>
      <c r="AO82" s="95">
        <v>3.6105999999999999E-2</v>
      </c>
      <c r="AP82" s="101">
        <v>1.2385E-2</v>
      </c>
      <c r="AQ82" s="101">
        <v>1.3761000000000001E-2</v>
      </c>
      <c r="AR82" s="101">
        <v>3.0589000000000002E-2</v>
      </c>
      <c r="AS82" s="101">
        <v>2.7529999999999999E-2</v>
      </c>
      <c r="AT82" s="101">
        <v>1.3729999999999999E-2</v>
      </c>
      <c r="AU82" s="101">
        <v>2.3730000000000001E-2</v>
      </c>
      <c r="AV82" s="95">
        <v>1.4280599999999999E-2</v>
      </c>
      <c r="AW82" s="95">
        <v>4.4768000000000002E-2</v>
      </c>
      <c r="AX82" s="95">
        <v>4.2555000000000003E-2</v>
      </c>
      <c r="AY82" s="95">
        <v>3.1370999999999996E-2</v>
      </c>
      <c r="AZ82" s="101">
        <v>1.9886000000000001E-2</v>
      </c>
      <c r="BA82" s="101" t="s">
        <v>75</v>
      </c>
      <c r="BB82" s="95">
        <v>4.4429999999999997E-2</v>
      </c>
      <c r="BC82" s="95">
        <v>7.8020000000000006E-2</v>
      </c>
      <c r="BD82" s="95">
        <v>2.9359120022786525E-2</v>
      </c>
      <c r="BE82" s="95">
        <v>2.9121842043369157E-2</v>
      </c>
      <c r="BF82" s="95">
        <v>2.8766255785435554E-2</v>
      </c>
      <c r="BG82" s="101">
        <v>2.8395605463780556E-2</v>
      </c>
      <c r="BH82" s="95">
        <v>3.6375999999999999E-2</v>
      </c>
      <c r="BI82" s="101">
        <v>5.2979999999999999E-2</v>
      </c>
      <c r="BJ82" s="95">
        <v>1.6742E-2</v>
      </c>
      <c r="BK82" s="95">
        <v>2.2206E-2</v>
      </c>
      <c r="BL82" s="95">
        <v>8.9561000000000002E-2</v>
      </c>
      <c r="BM82" s="95">
        <v>6.2084E-2</v>
      </c>
      <c r="BN82" s="95">
        <v>7.3859999999999995E-2</v>
      </c>
      <c r="BO82" s="101">
        <v>2.7231999999999999E-2</v>
      </c>
      <c r="BP82" s="101">
        <v>4.0870999999999998E-2</v>
      </c>
      <c r="BQ82" s="101">
        <v>3.4743000000000003E-2</v>
      </c>
      <c r="BR82" s="101">
        <v>1.4763E-2</v>
      </c>
      <c r="BS82" s="101">
        <v>2.5516E-2</v>
      </c>
      <c r="BT82" s="95">
        <v>3.866E-2</v>
      </c>
      <c r="BU82" s="95">
        <v>4.9790000000000001E-2</v>
      </c>
      <c r="BV82" s="97">
        <v>7.5499999999999998E-2</v>
      </c>
      <c r="BW82" s="97">
        <v>8.0597765755191175E-2</v>
      </c>
      <c r="BX82" s="97">
        <v>0.115</v>
      </c>
      <c r="BY82" s="97">
        <v>7.5499999999999998E-2</v>
      </c>
      <c r="BZ82" s="96">
        <v>8.1100000000000005E-2</v>
      </c>
      <c r="CA82" s="97"/>
      <c r="CB82" s="97">
        <v>3.7635000000000002E-2</v>
      </c>
      <c r="CC82" s="97">
        <v>6.2583E-2</v>
      </c>
      <c r="CD82" s="97">
        <v>8.8999999999999996E-2</v>
      </c>
      <c r="CE82" s="97">
        <v>1.72E-3</v>
      </c>
      <c r="CF82" s="97">
        <v>5.7540000000000001E-2</v>
      </c>
      <c r="CG82" s="96">
        <v>7.8E-2</v>
      </c>
      <c r="CH82" s="96">
        <v>7.7499999999999999E-2</v>
      </c>
      <c r="CI82" s="95">
        <v>1.9134999999999999E-2</v>
      </c>
      <c r="CJ82" s="95">
        <v>1.2840000000000001E-2</v>
      </c>
      <c r="CK82" s="101">
        <v>3.0519999999999999E-2</v>
      </c>
      <c r="CL82" s="96">
        <v>6.1100000000000002E-2</v>
      </c>
      <c r="CM82" s="101">
        <v>3.4759999999999999E-2</v>
      </c>
      <c r="CN82" s="101">
        <v>0.14219999999999999</v>
      </c>
      <c r="CO82" s="95"/>
      <c r="CP82" s="95">
        <v>2.6689999999999998E-2</v>
      </c>
      <c r="CQ82" s="101"/>
      <c r="CR82" s="95"/>
      <c r="CS82" s="95">
        <v>8.5000000000000006E-3</v>
      </c>
      <c r="CT82" s="95">
        <v>2.46E-2</v>
      </c>
      <c r="CU82" s="95">
        <v>1.6400000000000001E-2</v>
      </c>
      <c r="CV82" s="95">
        <v>2.9579999999999999E-2</v>
      </c>
      <c r="CW82" s="95"/>
      <c r="CX82" s="95">
        <v>0.15509000000000001</v>
      </c>
      <c r="CY82" s="104"/>
      <c r="CZ82" s="104">
        <v>17.081</v>
      </c>
      <c r="DA82" s="104">
        <v>25.9</v>
      </c>
      <c r="DB82" s="104">
        <v>19.46</v>
      </c>
      <c r="DC82" s="104">
        <v>22.5</v>
      </c>
      <c r="DD82" s="104">
        <v>22.6</v>
      </c>
    </row>
    <row r="83" spans="1:108">
      <c r="A83" s="54">
        <v>71</v>
      </c>
      <c r="B83" s="95">
        <v>4.5400000000000003E-2</v>
      </c>
      <c r="C83" s="95">
        <v>6.7670000000000008E-2</v>
      </c>
      <c r="D83" s="96">
        <v>1.1117E-2</v>
      </c>
      <c r="E83" s="96">
        <v>1.8891000000000002E-2</v>
      </c>
      <c r="F83" s="95">
        <v>1.2338999999999999E-2</v>
      </c>
      <c r="G83" s="95">
        <v>2.1070999999999999E-2</v>
      </c>
      <c r="H83" s="95">
        <v>2.3321000000000001E-2</v>
      </c>
      <c r="I83" s="95">
        <v>3.8272E-2</v>
      </c>
      <c r="J83" s="95">
        <v>4.1100999999999999E-2</v>
      </c>
      <c r="K83" s="95">
        <v>3.5436000000000002E-2</v>
      </c>
      <c r="L83" s="95">
        <v>2.8340000000000001E-2</v>
      </c>
      <c r="M83" s="95">
        <v>1.4326E-2</v>
      </c>
      <c r="N83" s="95">
        <v>1.2905E-2</v>
      </c>
      <c r="O83" s="95">
        <v>2.6353000000000001E-2</v>
      </c>
      <c r="P83" s="95">
        <v>2.3647000000000001E-2</v>
      </c>
      <c r="Q83" s="97">
        <v>1.2019999999999999E-2</v>
      </c>
      <c r="R83" s="97">
        <v>2.2950000000000002E-2</v>
      </c>
      <c r="S83" s="97">
        <v>1.0059999999999999E-2</v>
      </c>
      <c r="T83" s="97">
        <v>1.7299999999999999E-2</v>
      </c>
      <c r="U83" s="98">
        <v>1.2481900000000001E-2</v>
      </c>
      <c r="V83" s="99">
        <v>2.02899E-2</v>
      </c>
      <c r="W83" s="98">
        <v>9.7453999999999995E-3</v>
      </c>
      <c r="X83" s="99">
        <v>1.6676099999999999E-2</v>
      </c>
      <c r="Y83" s="100">
        <v>1.56207259E-2</v>
      </c>
      <c r="Z83" s="100">
        <v>2.3894203999999999E-2</v>
      </c>
      <c r="AA83" s="100">
        <v>1.12028796E-2</v>
      </c>
      <c r="AB83" s="100">
        <v>1.8430055899999999E-2</v>
      </c>
      <c r="AC83" s="95">
        <v>5.6860000000000001E-2</v>
      </c>
      <c r="AD83" s="95">
        <v>6.4269999999999994E-2</v>
      </c>
      <c r="AE83" s="95">
        <v>5.4149999999999997E-2</v>
      </c>
      <c r="AF83" s="95">
        <v>4.3603200000000002E-2</v>
      </c>
      <c r="AG83" s="95">
        <v>4.1680000000000002E-2</v>
      </c>
      <c r="AH83" s="95">
        <v>5.63373E-2</v>
      </c>
      <c r="AI83" s="95">
        <v>5.4149999999999997E-2</v>
      </c>
      <c r="AJ83" s="95">
        <v>3.6240000000000001E-2</v>
      </c>
      <c r="AK83" s="95">
        <v>4.709E-2</v>
      </c>
      <c r="AL83" s="95">
        <v>4.3299999999999998E-2</v>
      </c>
      <c r="AM83" s="97">
        <v>5.2275000000000002E-2</v>
      </c>
      <c r="AN83" s="95">
        <v>1.9E-2</v>
      </c>
      <c r="AO83" s="95">
        <v>4.0008000000000002E-2</v>
      </c>
      <c r="AP83" s="101">
        <v>1.4128E-2</v>
      </c>
      <c r="AQ83" s="101">
        <v>1.5698E-2</v>
      </c>
      <c r="AR83" s="101">
        <v>3.3727E-2</v>
      </c>
      <c r="AS83" s="101">
        <v>3.0353999999999999E-2</v>
      </c>
      <c r="AT83" s="101">
        <v>1.4952999999999999E-2</v>
      </c>
      <c r="AU83" s="101">
        <v>2.5950999999999998E-2</v>
      </c>
      <c r="AV83" s="95">
        <v>1.6473600000000001E-2</v>
      </c>
      <c r="AW83" s="95">
        <v>4.9140999999999997E-2</v>
      </c>
      <c r="AX83" s="95">
        <v>4.6816499999999997E-2</v>
      </c>
      <c r="AY83" s="95">
        <v>3.5081000000000001E-2</v>
      </c>
      <c r="AZ83" s="101">
        <v>2.1749999999999999E-2</v>
      </c>
      <c r="BA83" s="101" t="s">
        <v>76</v>
      </c>
      <c r="BB83" s="95">
        <v>4.7140000000000001E-2</v>
      </c>
      <c r="BC83" s="95">
        <v>8.4930000000000005E-2</v>
      </c>
      <c r="BD83" s="95">
        <v>3.1838520800314643E-2</v>
      </c>
      <c r="BE83" s="95">
        <v>3.1598454416579505E-2</v>
      </c>
      <c r="BF83" s="95">
        <v>3.1234438886354757E-2</v>
      </c>
      <c r="BG83" s="101">
        <v>3.0851937801438006E-2</v>
      </c>
      <c r="BH83" s="95">
        <v>3.9509000000000002E-2</v>
      </c>
      <c r="BI83" s="101">
        <v>5.7599999999999998E-2</v>
      </c>
      <c r="BJ83" s="95">
        <v>1.8578999999999998E-2</v>
      </c>
      <c r="BK83" s="95">
        <v>2.4570000000000002E-2</v>
      </c>
      <c r="BL83" s="95">
        <v>9.8229999999999998E-2</v>
      </c>
      <c r="BM83" s="95">
        <v>6.8386000000000002E-2</v>
      </c>
      <c r="BN83" s="95">
        <v>8.0993999999999997E-2</v>
      </c>
      <c r="BO83" s="101">
        <v>2.9634000000000001E-2</v>
      </c>
      <c r="BP83" s="101">
        <v>4.4504000000000002E-2</v>
      </c>
      <c r="BQ83" s="101">
        <v>3.7666999999999999E-2</v>
      </c>
      <c r="BR83" s="101">
        <v>1.6079E-2</v>
      </c>
      <c r="BS83" s="101">
        <v>2.7904999999999999E-2</v>
      </c>
      <c r="BT83" s="95">
        <v>4.1820000000000003E-2</v>
      </c>
      <c r="BU83" s="95">
        <v>5.4149999999999997E-2</v>
      </c>
      <c r="BV83" s="97">
        <v>8.0699999999999994E-2</v>
      </c>
      <c r="BW83" s="97">
        <v>8.3306311452687631E-2</v>
      </c>
      <c r="BX83" s="97">
        <v>0.115</v>
      </c>
      <c r="BY83" s="97">
        <v>8.0699999999999994E-2</v>
      </c>
      <c r="BZ83" s="96"/>
      <c r="CA83" s="97"/>
      <c r="CB83" s="97">
        <v>4.0140000000000002E-2</v>
      </c>
      <c r="CC83" s="97">
        <v>6.5840999999999997E-2</v>
      </c>
      <c r="CD83" s="97">
        <v>9.1999999999999998E-2</v>
      </c>
      <c r="CE83" s="97"/>
      <c r="CF83" s="97">
        <v>6.0560000000000003E-2</v>
      </c>
      <c r="CG83" s="96">
        <v>8.1000000000000003E-2</v>
      </c>
      <c r="CH83" s="96">
        <v>8.0949999999999994E-2</v>
      </c>
      <c r="CI83" s="95">
        <v>2.1734E-2</v>
      </c>
      <c r="CJ83" s="95">
        <v>1.575E-2</v>
      </c>
      <c r="CK83" s="101">
        <v>3.2489999999999998E-2</v>
      </c>
      <c r="CL83" s="96">
        <v>6.2799999999999995E-2</v>
      </c>
      <c r="CM83" s="101">
        <v>3.8859999999999999E-2</v>
      </c>
      <c r="CN83" s="101"/>
      <c r="CO83" s="95"/>
      <c r="CP83" s="95"/>
      <c r="CQ83" s="101"/>
      <c r="CR83" s="95"/>
      <c r="CS83" s="95"/>
      <c r="CT83" s="95">
        <v>2.46E-2</v>
      </c>
      <c r="CU83" s="95">
        <v>1.6400000000000001E-2</v>
      </c>
      <c r="CV83" s="95"/>
      <c r="CW83" s="95"/>
      <c r="CX83" s="95">
        <v>0.18929000000000001</v>
      </c>
      <c r="CY83" s="104"/>
      <c r="CZ83" s="104">
        <v>18.236000000000001</v>
      </c>
      <c r="DA83" s="104"/>
      <c r="DB83" s="104">
        <v>20.12</v>
      </c>
      <c r="DC83" s="104">
        <v>23.27</v>
      </c>
      <c r="DD83" s="104">
        <v>23.18</v>
      </c>
    </row>
    <row r="84" spans="1:108">
      <c r="A84" s="54">
        <v>72</v>
      </c>
      <c r="B84" s="95">
        <v>4.9939999999999998E-2</v>
      </c>
      <c r="C84" s="95">
        <v>7.3730000000000004E-2</v>
      </c>
      <c r="D84" s="96">
        <v>1.2385999999999999E-2</v>
      </c>
      <c r="E84" s="96">
        <v>2.0967E-2</v>
      </c>
      <c r="F84" s="95">
        <v>1.3734E-2</v>
      </c>
      <c r="G84" s="95">
        <v>2.3387999999999999E-2</v>
      </c>
      <c r="H84" s="95">
        <v>2.5954000000000001E-2</v>
      </c>
      <c r="I84" s="95">
        <v>4.1771000000000003E-2</v>
      </c>
      <c r="J84" s="95">
        <v>4.4420000000000001E-2</v>
      </c>
      <c r="K84" s="95">
        <v>3.8755999999999999E-2</v>
      </c>
      <c r="L84" s="95">
        <v>3.0929999999999999E-2</v>
      </c>
      <c r="M84" s="95">
        <v>1.5872000000000001E-2</v>
      </c>
      <c r="N84" s="95">
        <v>1.4319E-2</v>
      </c>
      <c r="O84" s="95">
        <v>2.912E-2</v>
      </c>
      <c r="P84" s="95">
        <v>2.6131000000000001E-2</v>
      </c>
      <c r="Q84" s="97">
        <v>1.312E-2</v>
      </c>
      <c r="R84" s="97">
        <v>2.5080000000000002E-2</v>
      </c>
      <c r="S84" s="97">
        <v>1.102E-2</v>
      </c>
      <c r="T84" s="97">
        <v>1.8929999999999999E-2</v>
      </c>
      <c r="U84" s="98">
        <v>1.36001E-2</v>
      </c>
      <c r="V84" s="99">
        <v>2.2697599999999998E-2</v>
      </c>
      <c r="W84" s="98">
        <v>1.0748000000000001E-2</v>
      </c>
      <c r="X84" s="99">
        <v>1.87002E-2</v>
      </c>
      <c r="Y84" s="100">
        <v>1.7134967500000001E-2</v>
      </c>
      <c r="Z84" s="100">
        <v>2.6170821399999999E-2</v>
      </c>
      <c r="AA84" s="100">
        <v>1.23321401E-2</v>
      </c>
      <c r="AB84" s="100">
        <v>2.0263987899999999E-2</v>
      </c>
      <c r="AC84" s="95">
        <v>6.1580000000000003E-2</v>
      </c>
      <c r="AD84" s="95">
        <v>6.966E-2</v>
      </c>
      <c r="AE84" s="95">
        <v>5.8650000000000001E-2</v>
      </c>
      <c r="AF84" s="95">
        <v>4.7651199999999998E-2</v>
      </c>
      <c r="AG84" s="95">
        <v>4.5609999999999998E-2</v>
      </c>
      <c r="AH84" s="95">
        <v>6.0885500000000002E-2</v>
      </c>
      <c r="AI84" s="95">
        <v>5.8650000000000001E-2</v>
      </c>
      <c r="AJ84" s="95">
        <v>3.9660000000000001E-2</v>
      </c>
      <c r="AK84" s="95">
        <v>5.0999999999999997E-2</v>
      </c>
      <c r="AL84" s="95">
        <v>4.7649999999999998E-2</v>
      </c>
      <c r="AM84" s="97">
        <v>5.6458000000000001E-2</v>
      </c>
      <c r="AN84" s="95">
        <v>2.1911E-2</v>
      </c>
      <c r="AO84" s="95">
        <v>4.3826999999999998E-2</v>
      </c>
      <c r="AP84" s="101">
        <v>1.6160000000000001E-2</v>
      </c>
      <c r="AQ84" s="101">
        <v>1.7954999999999999E-2</v>
      </c>
      <c r="AR84" s="101">
        <v>3.7078E-2</v>
      </c>
      <c r="AS84" s="101">
        <v>3.3369999999999997E-2</v>
      </c>
      <c r="AT84" s="101">
        <v>1.6506E-2</v>
      </c>
      <c r="AU84" s="101">
        <v>2.8480999999999999E-2</v>
      </c>
      <c r="AV84" s="95">
        <v>1.8915999999999999E-2</v>
      </c>
      <c r="AW84" s="95">
        <v>5.3927999999999997E-2</v>
      </c>
      <c r="AX84" s="95">
        <v>5.14762E-2</v>
      </c>
      <c r="AY84" s="95">
        <v>3.9140000000000001E-2</v>
      </c>
      <c r="AZ84" s="101">
        <v>2.3889000000000001E-2</v>
      </c>
      <c r="BA84" s="101" t="s">
        <v>77</v>
      </c>
      <c r="BB84" s="95">
        <v>4.9880000000000001E-2</v>
      </c>
      <c r="BC84" s="95">
        <v>9.2509999999999995E-2</v>
      </c>
      <c r="BD84" s="95">
        <v>3.4508598765093337E-2</v>
      </c>
      <c r="BE84" s="95">
        <v>3.4267654779711589E-2</v>
      </c>
      <c r="BF84" s="95">
        <v>3.3891748347417441E-2</v>
      </c>
      <c r="BG84" s="101">
        <v>3.349590611188541E-2</v>
      </c>
      <c r="BH84" s="95">
        <v>4.2761E-2</v>
      </c>
      <c r="BI84" s="101">
        <v>6.2659999999999993E-2</v>
      </c>
      <c r="BJ84" s="95">
        <v>2.0664999999999999E-2</v>
      </c>
      <c r="BK84" s="95">
        <v>2.7281E-2</v>
      </c>
      <c r="BL84" s="95">
        <v>0.107713</v>
      </c>
      <c r="BM84" s="95">
        <v>7.5048000000000004E-2</v>
      </c>
      <c r="BN84" s="95">
        <v>8.8794999999999999E-2</v>
      </c>
      <c r="BO84" s="101">
        <v>3.2072999999999997E-2</v>
      </c>
      <c r="BP84" s="101">
        <v>4.8503999999999999E-2</v>
      </c>
      <c r="BQ84" s="101">
        <v>4.0870999999999998E-2</v>
      </c>
      <c r="BR84" s="101">
        <v>1.7748E-2</v>
      </c>
      <c r="BS84" s="101">
        <v>3.0624999999999999E-2</v>
      </c>
      <c r="BT84" s="95">
        <v>4.53E-2</v>
      </c>
      <c r="BU84" s="95">
        <v>5.8650000000000001E-2</v>
      </c>
      <c r="BV84" s="97">
        <v>8.6400000000000005E-2</v>
      </c>
      <c r="BW84" s="97">
        <v>8.6292848045035564E-2</v>
      </c>
      <c r="BX84" s="97">
        <v>0.115</v>
      </c>
      <c r="BY84" s="97">
        <v>8.6400000000000005E-2</v>
      </c>
      <c r="BZ84" s="96"/>
      <c r="CA84" s="97"/>
      <c r="CB84" s="97">
        <v>4.2851E-2</v>
      </c>
      <c r="CC84" s="97">
        <v>6.9404999999999994E-2</v>
      </c>
      <c r="CD84" s="97">
        <v>9.5000000000000001E-2</v>
      </c>
      <c r="CE84" s="97"/>
      <c r="CF84" s="97">
        <v>6.3750000000000001E-2</v>
      </c>
      <c r="CG84" s="96">
        <v>8.3000000000000004E-2</v>
      </c>
      <c r="CH84" s="96">
        <v>8.4839999999999999E-2</v>
      </c>
      <c r="CI84" s="95">
        <v>2.4695000000000002E-2</v>
      </c>
      <c r="CJ84" s="95">
        <v>1.9359999999999999E-2</v>
      </c>
      <c r="CK84" s="101">
        <v>3.4540000000000001E-2</v>
      </c>
      <c r="CL84" s="96">
        <v>6.5000000000000002E-2</v>
      </c>
      <c r="CM84" s="101">
        <v>4.3439999999999999E-2</v>
      </c>
      <c r="CN84" s="101"/>
      <c r="CO84" s="95"/>
      <c r="CP84" s="95"/>
      <c r="CQ84" s="101"/>
      <c r="CR84" s="95"/>
      <c r="CS84" s="95"/>
      <c r="CT84" s="95">
        <v>2.46E-2</v>
      </c>
      <c r="CU84" s="95">
        <v>1.6400000000000001E-2</v>
      </c>
      <c r="CV84" s="95"/>
      <c r="CW84" s="95"/>
      <c r="CX84" s="95">
        <v>0.22126999999999999</v>
      </c>
      <c r="CY84" s="104"/>
      <c r="CZ84" s="104">
        <v>19.692</v>
      </c>
      <c r="DA84" s="104"/>
      <c r="DB84" s="104">
        <v>20.8</v>
      </c>
      <c r="DC84" s="104">
        <v>23.96</v>
      </c>
      <c r="DD84" s="104">
        <v>23.78</v>
      </c>
    </row>
    <row r="85" spans="1:108">
      <c r="A85" s="54">
        <v>73</v>
      </c>
      <c r="B85" s="95">
        <v>5.4899999999999997E-2</v>
      </c>
      <c r="C85" s="95">
        <v>8.0180000000000001E-2</v>
      </c>
      <c r="D85" s="96">
        <v>1.3871E-2</v>
      </c>
      <c r="E85" s="96">
        <v>2.3209E-2</v>
      </c>
      <c r="F85" s="95">
        <v>1.5391E-2</v>
      </c>
      <c r="G85" s="95">
        <v>2.5871000000000002E-2</v>
      </c>
      <c r="H85" s="95">
        <v>2.8892000000000001E-2</v>
      </c>
      <c r="I85" s="95">
        <v>4.5620000000000001E-2</v>
      </c>
      <c r="J85" s="95">
        <v>4.7987000000000002E-2</v>
      </c>
      <c r="K85" s="95">
        <v>4.2345999999999995E-2</v>
      </c>
      <c r="L85" s="95">
        <v>3.3799999999999997E-2</v>
      </c>
      <c r="M85" s="95">
        <v>1.7717E-2</v>
      </c>
      <c r="N85" s="95">
        <v>1.5980000000000001E-2</v>
      </c>
      <c r="O85" s="95">
        <v>3.2122999999999999E-2</v>
      </c>
      <c r="P85" s="95">
        <v>2.8835E-2</v>
      </c>
      <c r="Q85" s="97">
        <v>1.43E-2</v>
      </c>
      <c r="R85" s="97">
        <v>2.7400000000000001E-2</v>
      </c>
      <c r="S85" s="97">
        <v>1.204E-2</v>
      </c>
      <c r="T85" s="97">
        <v>2.0719999999999999E-2</v>
      </c>
      <c r="U85" s="98">
        <v>1.47735E-2</v>
      </c>
      <c r="V85" s="99">
        <v>2.5411900000000001E-2</v>
      </c>
      <c r="W85" s="98">
        <v>1.17749E-2</v>
      </c>
      <c r="X85" s="99">
        <v>2.08752E-2</v>
      </c>
      <c r="Y85" s="100">
        <v>1.8798279300000002E-2</v>
      </c>
      <c r="Z85" s="100">
        <v>2.86630797E-2</v>
      </c>
      <c r="AA85" s="100">
        <v>1.3573661799999999E-2</v>
      </c>
      <c r="AB85" s="100">
        <v>2.2282319599999999E-2</v>
      </c>
      <c r="AC85" s="95">
        <v>6.6420000000000007E-2</v>
      </c>
      <c r="AD85" s="95">
        <v>7.5499999999999998E-2</v>
      </c>
      <c r="AE85" s="95">
        <v>6.3259999999999997E-2</v>
      </c>
      <c r="AF85" s="95">
        <v>5.1914399999999999E-2</v>
      </c>
      <c r="AG85" s="95">
        <v>4.9790000000000001E-2</v>
      </c>
      <c r="AH85" s="95">
        <v>6.5610500000000002E-2</v>
      </c>
      <c r="AI85" s="95">
        <v>6.3259999999999997E-2</v>
      </c>
      <c r="AJ85" s="95">
        <v>4.3299999999999998E-2</v>
      </c>
      <c r="AK85" s="95">
        <v>5.5010000000000003E-2</v>
      </c>
      <c r="AL85" s="95">
        <v>5.2639999999999999E-2</v>
      </c>
      <c r="AM85" s="97">
        <v>6.0731E-2</v>
      </c>
      <c r="AN85" s="95">
        <v>2.5111999999999999E-2</v>
      </c>
      <c r="AO85" s="95">
        <v>4.7489000000000003E-2</v>
      </c>
      <c r="AP85" s="101">
        <v>1.8481000000000001E-2</v>
      </c>
      <c r="AQ85" s="101">
        <v>2.0534E-2</v>
      </c>
      <c r="AR85" s="101">
        <v>4.0756000000000001E-2</v>
      </c>
      <c r="AS85" s="101">
        <v>3.6679999999999997E-2</v>
      </c>
      <c r="AT85" s="101">
        <v>1.8343999999999999E-2</v>
      </c>
      <c r="AU85" s="101">
        <v>3.1201E-2</v>
      </c>
      <c r="AV85" s="95">
        <v>2.1612300000000001E-2</v>
      </c>
      <c r="AW85" s="95">
        <v>5.9164000000000001E-2</v>
      </c>
      <c r="AX85" s="95">
        <v>5.6564499999999997E-2</v>
      </c>
      <c r="AY85" s="95">
        <v>4.3548999999999997E-2</v>
      </c>
      <c r="AZ85" s="101">
        <v>2.6286E-2</v>
      </c>
      <c r="BA85" s="101" t="s">
        <v>78</v>
      </c>
      <c r="BB85" s="95">
        <v>5.2600000000000001E-2</v>
      </c>
      <c r="BC85" s="95">
        <v>0.10077</v>
      </c>
      <c r="BD85" s="95">
        <v>3.7378350936242366E-2</v>
      </c>
      <c r="BE85" s="95">
        <v>3.7139675910282867E-2</v>
      </c>
      <c r="BF85" s="95">
        <v>3.6746245668992317E-2</v>
      </c>
      <c r="BG85" s="101">
        <v>3.6334679825014579E-2</v>
      </c>
      <c r="BH85" s="95">
        <v>4.6204000000000002E-2</v>
      </c>
      <c r="BI85" s="101">
        <v>6.8190000000000001E-2</v>
      </c>
      <c r="BJ85" s="95">
        <v>2.2970000000000001E-2</v>
      </c>
      <c r="BK85" s="95">
        <v>3.0387000000000001E-2</v>
      </c>
      <c r="BL85" s="95">
        <v>0.118075</v>
      </c>
      <c r="BM85" s="95">
        <v>8.2003000000000006E-2</v>
      </c>
      <c r="BN85" s="95">
        <v>9.7319000000000003E-2</v>
      </c>
      <c r="BO85" s="101">
        <v>3.4743000000000003E-2</v>
      </c>
      <c r="BP85" s="101">
        <v>5.2913000000000002E-2</v>
      </c>
      <c r="BQ85" s="101">
        <v>4.4504000000000002E-2</v>
      </c>
      <c r="BR85" s="101">
        <v>1.9723999999999998E-2</v>
      </c>
      <c r="BS85" s="101">
        <v>3.3549000000000002E-2</v>
      </c>
      <c r="BT85" s="95">
        <v>4.9149999999999999E-2</v>
      </c>
      <c r="BU85" s="95">
        <v>6.3259999999999997E-2</v>
      </c>
      <c r="BV85" s="97">
        <v>9.4200000000000006E-2</v>
      </c>
      <c r="BW85" s="97">
        <v>8.9570812233812358E-2</v>
      </c>
      <c r="BX85" s="97">
        <v>0.115</v>
      </c>
      <c r="BY85" s="97">
        <v>9.4200000000000006E-2</v>
      </c>
      <c r="BZ85" s="96"/>
      <c r="CA85" s="97"/>
      <c r="CB85" s="97">
        <v>4.5768999999999997E-2</v>
      </c>
      <c r="CC85" s="97">
        <v>7.3291999999999996E-2</v>
      </c>
      <c r="CD85" s="97">
        <v>9.9000000000000005E-2</v>
      </c>
      <c r="CE85" s="97"/>
      <c r="CF85" s="97">
        <v>6.7129999999999995E-2</v>
      </c>
      <c r="CG85" s="96">
        <v>8.5000000000000006E-2</v>
      </c>
      <c r="CH85" s="96">
        <v>8.9249999999999996E-2</v>
      </c>
      <c r="CI85" s="95">
        <v>2.8066000000000001E-2</v>
      </c>
      <c r="CJ85" s="95">
        <v>2.3859999999999999E-2</v>
      </c>
      <c r="CK85" s="101">
        <v>3.6670000000000001E-2</v>
      </c>
      <c r="CL85" s="96">
        <v>6.7799999999999999E-2</v>
      </c>
      <c r="CM85" s="101">
        <v>4.8559999999999999E-2</v>
      </c>
      <c r="CN85" s="101"/>
      <c r="CO85" s="95"/>
      <c r="CP85" s="95"/>
      <c r="CQ85" s="101"/>
      <c r="CR85" s="95"/>
      <c r="CS85" s="95"/>
      <c r="CT85" s="95">
        <v>2.46E-2</v>
      </c>
      <c r="CU85" s="95">
        <v>1.6400000000000001E-2</v>
      </c>
      <c r="CV85" s="95"/>
      <c r="CW85" s="95"/>
      <c r="CX85" s="95">
        <v>0.25258000000000003</v>
      </c>
      <c r="CY85" s="104"/>
      <c r="CZ85" s="104">
        <v>21.5</v>
      </c>
      <c r="DA85" s="104"/>
      <c r="DB85" s="104">
        <v>21.49</v>
      </c>
      <c r="DC85" s="104">
        <v>21.67</v>
      </c>
      <c r="DD85" s="104">
        <v>21.37</v>
      </c>
    </row>
    <row r="86" spans="1:108">
      <c r="A86" s="54">
        <v>74</v>
      </c>
      <c r="B86" s="95">
        <v>6.0240000000000002E-2</v>
      </c>
      <c r="C86" s="95">
        <v>8.7029999999999996E-2</v>
      </c>
      <c r="D86" s="96">
        <v>1.5592E-2</v>
      </c>
      <c r="E86" s="96">
        <v>2.5644E-2</v>
      </c>
      <c r="F86" s="95">
        <v>1.7326000000000001E-2</v>
      </c>
      <c r="G86" s="95">
        <v>2.8552000000000001E-2</v>
      </c>
      <c r="H86" s="95">
        <v>3.2170999999999998E-2</v>
      </c>
      <c r="I86" s="95">
        <v>4.9852E-2</v>
      </c>
      <c r="J86" s="95">
        <v>5.1822E-2</v>
      </c>
      <c r="K86" s="95">
        <v>4.6225999999999996E-2</v>
      </c>
      <c r="L86" s="95">
        <v>3.6979999999999999E-2</v>
      </c>
      <c r="M86" s="95">
        <v>1.9883000000000001E-2</v>
      </c>
      <c r="N86" s="95">
        <v>1.7909000000000001E-2</v>
      </c>
      <c r="O86" s="95">
        <v>3.5397999999999999E-2</v>
      </c>
      <c r="P86" s="95">
        <v>3.1794000000000003E-2</v>
      </c>
      <c r="Q86" s="97">
        <v>1.558E-2</v>
      </c>
      <c r="R86" s="97">
        <v>2.9940000000000001E-2</v>
      </c>
      <c r="S86" s="97">
        <v>1.3129999999999999E-2</v>
      </c>
      <c r="T86" s="97">
        <v>2.2679999999999999E-2</v>
      </c>
      <c r="U86" s="98">
        <v>1.64225E-2</v>
      </c>
      <c r="V86" s="99">
        <v>2.8065900000000001E-2</v>
      </c>
      <c r="W86" s="98">
        <v>1.2800199999999999E-2</v>
      </c>
      <c r="X86" s="99">
        <v>2.3289799999999999E-2</v>
      </c>
      <c r="Y86" s="100">
        <v>2.06242479E-2</v>
      </c>
      <c r="Z86" s="100">
        <v>3.1392323200000002E-2</v>
      </c>
      <c r="AA86" s="100">
        <v>1.4941872599999999E-2</v>
      </c>
      <c r="AB86" s="100">
        <v>2.4504774999999999E-2</v>
      </c>
      <c r="AC86" s="95">
        <v>7.1529999999999996E-2</v>
      </c>
      <c r="AD86" s="95">
        <v>8.1809999999999994E-2</v>
      </c>
      <c r="AE86" s="95">
        <v>6.812E-2</v>
      </c>
      <c r="AF86" s="95">
        <v>5.63373E-2</v>
      </c>
      <c r="AG86" s="95">
        <v>5.4149999999999997E-2</v>
      </c>
      <c r="AH86" s="95">
        <v>7.0652499999999993E-2</v>
      </c>
      <c r="AI86" s="95">
        <v>6.812E-2</v>
      </c>
      <c r="AJ86" s="95">
        <v>4.709E-2</v>
      </c>
      <c r="AK86" s="95">
        <v>5.9229999999999998E-2</v>
      </c>
      <c r="AL86" s="95">
        <v>5.8189999999999999E-2</v>
      </c>
      <c r="AM86" s="97">
        <v>6.5210000000000004E-2</v>
      </c>
      <c r="AN86" s="95">
        <v>2.8632000000000001E-2</v>
      </c>
      <c r="AO86" s="95">
        <v>5.1221000000000003E-2</v>
      </c>
      <c r="AP86" s="101">
        <v>2.1092E-2</v>
      </c>
      <c r="AQ86" s="101">
        <v>2.3435000000000001E-2</v>
      </c>
      <c r="AR86" s="101">
        <v>4.4875999999999999E-2</v>
      </c>
      <c r="AS86" s="101">
        <v>4.0388E-2</v>
      </c>
      <c r="AT86" s="101">
        <v>2.0381E-2</v>
      </c>
      <c r="AU86" s="101">
        <v>3.4050999999999998E-2</v>
      </c>
      <c r="AV86" s="95">
        <v>2.4567499999999999E-2</v>
      </c>
      <c r="AW86" s="95">
        <v>6.4890000000000003E-2</v>
      </c>
      <c r="AX86" s="95">
        <v>6.2112800000000003E-2</v>
      </c>
      <c r="AY86" s="95">
        <v>4.8307999999999997E-2</v>
      </c>
      <c r="AZ86" s="101">
        <v>2.8913999999999999E-2</v>
      </c>
      <c r="BA86" s="101" t="s">
        <v>79</v>
      </c>
      <c r="BB86" s="95">
        <v>5.534E-2</v>
      </c>
      <c r="BC86" s="95">
        <v>0.10987</v>
      </c>
      <c r="BD86" s="95">
        <v>4.0462209710433288E-2</v>
      </c>
      <c r="BE86" s="95">
        <v>4.0227632722702626E-2</v>
      </c>
      <c r="BF86" s="95">
        <v>3.9811749889596626E-2</v>
      </c>
      <c r="BG86" s="101">
        <v>3.9382361786280434E-2</v>
      </c>
      <c r="BH86" s="95">
        <v>4.9904999999999998E-2</v>
      </c>
      <c r="BI86" s="101">
        <v>7.424E-2</v>
      </c>
      <c r="BJ86" s="95">
        <v>2.5458000000000001E-2</v>
      </c>
      <c r="BK86" s="95">
        <v>3.39E-2</v>
      </c>
      <c r="BL86" s="95">
        <v>0.129387</v>
      </c>
      <c r="BM86" s="95">
        <v>8.9416999999999996E-2</v>
      </c>
      <c r="BN86" s="95">
        <v>0.106626</v>
      </c>
      <c r="BO86" s="101">
        <v>3.7666999999999999E-2</v>
      </c>
      <c r="BP86" s="101">
        <v>5.7775E-2</v>
      </c>
      <c r="BQ86" s="101">
        <v>4.8503999999999999E-2</v>
      </c>
      <c r="BR86" s="101">
        <v>2.1915E-2</v>
      </c>
      <c r="BS86" s="101">
        <v>3.6614000000000001E-2</v>
      </c>
      <c r="BT86" s="95">
        <v>5.3420000000000002E-2</v>
      </c>
      <c r="BU86" s="95">
        <v>6.812E-2</v>
      </c>
      <c r="BV86" s="97">
        <v>0.1014</v>
      </c>
      <c r="BW86" s="97">
        <v>9.3154322834930414E-2</v>
      </c>
      <c r="BX86" s="97">
        <v>0.114</v>
      </c>
      <c r="BY86" s="97">
        <v>0.1014</v>
      </c>
      <c r="BZ86" s="96"/>
      <c r="CA86" s="97"/>
      <c r="CB86" s="97">
        <v>4.8895000000000001E-2</v>
      </c>
      <c r="CC86" s="97">
        <v>7.7511999999999998E-2</v>
      </c>
      <c r="CD86" s="97">
        <v>0.10299999999999999</v>
      </c>
      <c r="CE86" s="97"/>
      <c r="CF86" s="97">
        <v>7.0690000000000003E-2</v>
      </c>
      <c r="CG86" s="96">
        <v>8.6999999999999994E-2</v>
      </c>
      <c r="CH86" s="96">
        <v>9.4289999999999999E-2</v>
      </c>
      <c r="CI86" s="95">
        <v>3.1904000000000002E-2</v>
      </c>
      <c r="CJ86" s="95">
        <v>2.9239999999999999E-2</v>
      </c>
      <c r="CK86" s="101">
        <v>3.8879999999999998E-2</v>
      </c>
      <c r="CL86" s="96">
        <v>7.1199999999999999E-2</v>
      </c>
      <c r="CM86" s="101">
        <v>5.4289999999999998E-2</v>
      </c>
      <c r="CN86" s="101"/>
      <c r="CO86" s="95"/>
      <c r="CP86" s="95"/>
      <c r="CQ86" s="101"/>
      <c r="CR86" s="95"/>
      <c r="CS86" s="95"/>
      <c r="CT86" s="95">
        <v>2.46E-2</v>
      </c>
      <c r="CU86" s="95">
        <v>1.6400000000000001E-2</v>
      </c>
      <c r="CV86" s="95"/>
      <c r="CW86" s="95"/>
      <c r="CX86" s="95">
        <v>0.28855999999999998</v>
      </c>
      <c r="CY86" s="104"/>
      <c r="CZ86" s="104">
        <v>25</v>
      </c>
      <c r="DA86" s="104"/>
      <c r="DB86" s="104">
        <v>22.19</v>
      </c>
      <c r="DC86" s="104">
        <v>25.41</v>
      </c>
      <c r="DD86" s="104">
        <v>21.98</v>
      </c>
    </row>
    <row r="87" spans="1:108">
      <c r="A87" s="54">
        <v>75</v>
      </c>
      <c r="B87" s="95">
        <v>6.6019999999999995E-2</v>
      </c>
      <c r="C87" s="95">
        <v>9.4370000000000009E-2</v>
      </c>
      <c r="D87" s="96">
        <v>1.7564E-2</v>
      </c>
      <c r="E87" s="96">
        <v>2.8303999999999999E-2</v>
      </c>
      <c r="F87" s="95">
        <v>1.9550999999999999E-2</v>
      </c>
      <c r="G87" s="95">
        <v>3.1476999999999998E-2</v>
      </c>
      <c r="H87" s="95">
        <v>3.5829E-2</v>
      </c>
      <c r="I87" s="95">
        <v>5.4501000000000001E-2</v>
      </c>
      <c r="J87" s="95">
        <v>5.5945999999999996E-2</v>
      </c>
      <c r="K87" s="95">
        <v>5.0417000000000003E-2</v>
      </c>
      <c r="L87" s="95">
        <v>4.0489999999999998E-2</v>
      </c>
      <c r="M87" s="95">
        <v>2.2383E-2</v>
      </c>
      <c r="N87" s="95">
        <v>2.0126999999999999E-2</v>
      </c>
      <c r="O87" s="95">
        <v>3.8986E-2</v>
      </c>
      <c r="P87" s="95">
        <v>3.5046000000000001E-2</v>
      </c>
      <c r="Q87" s="97">
        <v>1.6990000000000002E-2</v>
      </c>
      <c r="R87" s="97">
        <v>3.2730000000000002E-2</v>
      </c>
      <c r="S87" s="97">
        <v>1.4330000000000001E-2</v>
      </c>
      <c r="T87" s="97">
        <v>2.4830000000000001E-2</v>
      </c>
      <c r="U87" s="98">
        <v>1.8207899999999999E-2</v>
      </c>
      <c r="V87" s="99">
        <v>2.98929E-2</v>
      </c>
      <c r="W87" s="98">
        <v>1.3845E-2</v>
      </c>
      <c r="X87" s="99">
        <v>2.5784399999999999E-2</v>
      </c>
      <c r="Y87" s="100">
        <v>2.26288264E-2</v>
      </c>
      <c r="Z87" s="100">
        <v>3.4378188099999998E-2</v>
      </c>
      <c r="AA87" s="100">
        <v>1.64517928E-2</v>
      </c>
      <c r="AB87" s="100">
        <v>2.6950655399999999E-2</v>
      </c>
      <c r="AC87" s="95">
        <v>7.7039999999999997E-2</v>
      </c>
      <c r="AD87" s="95">
        <v>8.8639999999999997E-2</v>
      </c>
      <c r="AE87" s="95">
        <v>7.3370000000000005E-2</v>
      </c>
      <c r="AF87" s="95">
        <v>6.0885500000000002E-2</v>
      </c>
      <c r="AG87" s="95">
        <v>5.8650000000000001E-2</v>
      </c>
      <c r="AH87" s="95">
        <v>7.6164300000000004E-2</v>
      </c>
      <c r="AI87" s="95">
        <v>7.3370000000000005E-2</v>
      </c>
      <c r="AJ87" s="95">
        <v>5.0999999999999997E-2</v>
      </c>
      <c r="AK87" s="95">
        <v>6.3799999999999996E-2</v>
      </c>
      <c r="AL87" s="95">
        <v>6.4189999999999997E-2</v>
      </c>
      <c r="AM87" s="97">
        <v>7.0003999999999997E-2</v>
      </c>
      <c r="AN87" s="95">
        <v>3.2384999999999997E-2</v>
      </c>
      <c r="AO87" s="95">
        <v>5.5293000000000002E-2</v>
      </c>
      <c r="AP87" s="101">
        <v>2.3991999999999999E-2</v>
      </c>
      <c r="AQ87" s="101">
        <v>2.6658000000000001E-2</v>
      </c>
      <c r="AR87" s="101">
        <v>4.9551999999999999E-2</v>
      </c>
      <c r="AS87" s="101">
        <v>4.4596999999999998E-2</v>
      </c>
      <c r="AT87" s="101">
        <v>2.2686000000000001E-2</v>
      </c>
      <c r="AU87" s="101">
        <v>3.7211000000000001E-2</v>
      </c>
      <c r="AV87" s="95">
        <v>2.77862E-2</v>
      </c>
      <c r="AW87" s="95">
        <v>7.1146000000000001E-2</v>
      </c>
      <c r="AX87" s="95">
        <v>6.8153099999999994E-2</v>
      </c>
      <c r="AY87" s="95">
        <v>5.3415999999999998E-2</v>
      </c>
      <c r="AZ87" s="101">
        <v>3.1746000000000003E-2</v>
      </c>
      <c r="BA87" s="101" t="s">
        <v>80</v>
      </c>
      <c r="BB87" s="95">
        <v>5.7880000000000001E-2</v>
      </c>
      <c r="BC87" s="95">
        <v>0.11971999999999999</v>
      </c>
      <c r="BD87" s="95">
        <v>4.3768943451084917E-2</v>
      </c>
      <c r="BE87" s="95">
        <v>4.3538754091827607E-2</v>
      </c>
      <c r="BF87" s="95">
        <v>4.3096979041693372E-2</v>
      </c>
      <c r="BG87" s="101">
        <v>4.2647565987053715E-2</v>
      </c>
      <c r="BH87" s="95">
        <v>5.3884000000000001E-2</v>
      </c>
      <c r="BI87" s="101">
        <v>8.0850000000000005E-2</v>
      </c>
      <c r="BJ87" s="95">
        <v>2.8105999999999999E-2</v>
      </c>
      <c r="BK87" s="95">
        <v>3.7834E-2</v>
      </c>
      <c r="BL87" s="95">
        <v>0.14172100000000001</v>
      </c>
      <c r="BM87" s="95">
        <v>9.7452999999999998E-2</v>
      </c>
      <c r="BN87" s="95">
        <v>0.11677700000000001</v>
      </c>
      <c r="BO87" s="101">
        <v>4.0870999999999998E-2</v>
      </c>
      <c r="BP87" s="101">
        <v>6.3142000000000004E-2</v>
      </c>
      <c r="BQ87" s="101">
        <v>5.2913000000000002E-2</v>
      </c>
      <c r="BR87" s="101">
        <v>2.4393000000000001E-2</v>
      </c>
      <c r="BS87" s="101">
        <v>4.0011999999999999E-2</v>
      </c>
      <c r="BT87" s="95">
        <v>5.799E-2</v>
      </c>
      <c r="BU87" s="95">
        <v>7.3370000000000005E-2</v>
      </c>
      <c r="BV87" s="97">
        <v>0.1067</v>
      </c>
      <c r="BW87" s="97">
        <v>9.7058184916869572E-2</v>
      </c>
      <c r="BX87" s="97">
        <v>0.113</v>
      </c>
      <c r="BY87" s="97">
        <v>0.10979999999999999</v>
      </c>
      <c r="BZ87" s="96"/>
      <c r="CA87" s="97"/>
      <c r="CB87" s="97">
        <v>5.2229999999999999E-2</v>
      </c>
      <c r="CC87" s="97">
        <v>8.2067000000000001E-2</v>
      </c>
      <c r="CD87" s="97">
        <v>0.106</v>
      </c>
      <c r="CE87" s="97"/>
      <c r="CF87" s="97">
        <v>7.4440000000000006E-2</v>
      </c>
      <c r="CG87" s="96">
        <v>8.8999999999999996E-2</v>
      </c>
      <c r="CH87" s="96">
        <v>0.10007000000000001</v>
      </c>
      <c r="CI87" s="95">
        <v>3.6275000000000002E-2</v>
      </c>
      <c r="CJ87" s="95">
        <v>3.5369999999999999E-2</v>
      </c>
      <c r="CK87" s="101">
        <v>4.1169999999999998E-2</v>
      </c>
      <c r="CL87" s="96">
        <v>7.4999999999999997E-2</v>
      </c>
      <c r="CM87" s="101">
        <v>6.0699999999999997E-2</v>
      </c>
      <c r="CN87" s="101"/>
      <c r="CO87" s="95"/>
      <c r="CP87" s="95"/>
      <c r="CQ87" s="101"/>
      <c r="CR87" s="95"/>
      <c r="CS87" s="95"/>
      <c r="CT87" s="95">
        <v>2.46E-2</v>
      </c>
      <c r="CU87" s="95">
        <v>1.6400000000000001E-2</v>
      </c>
      <c r="CV87" s="95"/>
      <c r="CW87" s="95"/>
      <c r="CX87" s="95">
        <v>0.33090999999999998</v>
      </c>
      <c r="CY87" s="104"/>
      <c r="CZ87" s="104"/>
      <c r="DA87" s="104"/>
      <c r="DB87" s="104">
        <v>22.92</v>
      </c>
      <c r="DC87" s="104">
        <v>26.19</v>
      </c>
      <c r="DD87" s="104">
        <v>25.61</v>
      </c>
    </row>
    <row r="88" spans="1:108">
      <c r="A88" s="54">
        <v>76</v>
      </c>
      <c r="B88" s="95">
        <v>7.2300000000000003E-2</v>
      </c>
      <c r="C88" s="95">
        <v>0.10231</v>
      </c>
      <c r="D88" s="96">
        <v>1.9805E-2</v>
      </c>
      <c r="E88" s="96">
        <v>3.1220000000000001E-2</v>
      </c>
      <c r="F88" s="95">
        <v>2.2075000000000001E-2</v>
      </c>
      <c r="G88" s="95">
        <v>3.4686000000000002E-2</v>
      </c>
      <c r="H88" s="95">
        <v>3.9906999999999998E-2</v>
      </c>
      <c r="I88" s="95">
        <v>5.9609000000000002E-2</v>
      </c>
      <c r="J88" s="95">
        <v>6.0380999999999997E-2</v>
      </c>
      <c r="K88" s="95">
        <v>5.4941000000000004E-2</v>
      </c>
      <c r="L88" s="95">
        <v>4.4389999999999999E-2</v>
      </c>
      <c r="M88" s="95">
        <v>2.5228E-2</v>
      </c>
      <c r="N88" s="95">
        <v>2.2654000000000001E-2</v>
      </c>
      <c r="O88" s="95">
        <v>4.2930000000000003E-2</v>
      </c>
      <c r="P88" s="95">
        <v>3.8630999999999999E-2</v>
      </c>
      <c r="Q88" s="97">
        <v>1.856E-2</v>
      </c>
      <c r="R88" s="97">
        <v>3.5779999999999999E-2</v>
      </c>
      <c r="S88" s="97">
        <v>1.566E-2</v>
      </c>
      <c r="T88" s="97">
        <v>2.7189999999999999E-2</v>
      </c>
      <c r="U88" s="98">
        <v>2.0308400000000001E-2</v>
      </c>
      <c r="V88" s="99">
        <v>3.2695399999999999E-2</v>
      </c>
      <c r="W88" s="98">
        <v>1.51097E-2</v>
      </c>
      <c r="X88" s="99">
        <v>2.8667399999999999E-2</v>
      </c>
      <c r="Y88" s="100">
        <v>2.4831414199999999E-2</v>
      </c>
      <c r="Z88" s="100">
        <v>3.76456477E-2</v>
      </c>
      <c r="AA88" s="100">
        <v>1.8116000899999998E-2</v>
      </c>
      <c r="AB88" s="100">
        <v>2.9635835999999999E-2</v>
      </c>
      <c r="AC88" s="95">
        <v>8.3140000000000006E-2</v>
      </c>
      <c r="AD88" s="95">
        <v>9.6019999999999994E-2</v>
      </c>
      <c r="AE88" s="95">
        <v>7.918E-2</v>
      </c>
      <c r="AF88" s="95">
        <v>6.5610500000000002E-2</v>
      </c>
      <c r="AG88" s="95">
        <v>6.3259999999999997E-2</v>
      </c>
      <c r="AH88" s="95">
        <v>8.2305900000000001E-2</v>
      </c>
      <c r="AI88" s="95">
        <v>7.918E-2</v>
      </c>
      <c r="AJ88" s="95">
        <v>5.5010000000000003E-2</v>
      </c>
      <c r="AK88" s="95">
        <v>6.8849999999999995E-2</v>
      </c>
      <c r="AL88" s="95">
        <v>7.0529999999999995E-2</v>
      </c>
      <c r="AM88" s="97">
        <v>7.5299000000000005E-2</v>
      </c>
      <c r="AN88" s="95">
        <v>3.6408000000000003E-2</v>
      </c>
      <c r="AO88" s="95">
        <v>6.0068000000000003E-2</v>
      </c>
      <c r="AP88" s="101">
        <v>2.7185000000000001E-2</v>
      </c>
      <c r="AQ88" s="101">
        <v>3.0204999999999999E-2</v>
      </c>
      <c r="AR88" s="101">
        <v>5.4876000000000001E-2</v>
      </c>
      <c r="AS88" s="101">
        <v>4.9388000000000001E-2</v>
      </c>
      <c r="AT88" s="101">
        <v>2.5325E-2</v>
      </c>
      <c r="AU88" s="101">
        <v>4.0857999999999998E-2</v>
      </c>
      <c r="AV88" s="95">
        <v>3.1273200000000001E-2</v>
      </c>
      <c r="AW88" s="95">
        <v>7.7976000000000004E-2</v>
      </c>
      <c r="AX88" s="95">
        <v>7.4717699999999998E-2</v>
      </c>
      <c r="AY88" s="95">
        <v>5.8874999999999997E-2</v>
      </c>
      <c r="AZ88" s="101">
        <v>3.4758999999999998E-2</v>
      </c>
      <c r="BA88" s="101" t="s">
        <v>81</v>
      </c>
      <c r="BB88" s="95">
        <v>6.0040000000000003E-2</v>
      </c>
      <c r="BC88" s="95">
        <v>0.13053000000000001</v>
      </c>
      <c r="BD88" s="95">
        <v>4.7326977215535707E-2</v>
      </c>
      <c r="BE88" s="95">
        <v>4.7097877801331532E-2</v>
      </c>
      <c r="BF88" s="95">
        <v>4.6629406658315983E-2</v>
      </c>
      <c r="BG88" s="101">
        <v>4.6159352991788638E-2</v>
      </c>
      <c r="BH88" s="95">
        <v>5.8164E-2</v>
      </c>
      <c r="BI88" s="101">
        <v>8.8059999999999999E-2</v>
      </c>
      <c r="BJ88" s="95">
        <v>3.0966E-2</v>
      </c>
      <c r="BK88" s="95">
        <v>4.2168999999999998E-2</v>
      </c>
      <c r="BL88" s="95">
        <v>0.15515399999999999</v>
      </c>
      <c r="BM88" s="95">
        <v>0.107087</v>
      </c>
      <c r="BN88" s="95">
        <v>0.12783900000000001</v>
      </c>
      <c r="BO88" s="101">
        <v>4.4504000000000002E-2</v>
      </c>
      <c r="BP88" s="101">
        <v>6.8627999999999995E-2</v>
      </c>
      <c r="BQ88" s="101">
        <v>5.7775E-2</v>
      </c>
      <c r="BR88" s="101">
        <v>2.7231000000000002E-2</v>
      </c>
      <c r="BS88" s="101">
        <v>4.3933E-2</v>
      </c>
      <c r="BT88" s="95">
        <v>6.2960000000000002E-2</v>
      </c>
      <c r="BU88" s="95">
        <v>7.918E-2</v>
      </c>
      <c r="BV88" s="97">
        <v>0.11405</v>
      </c>
      <c r="BW88" s="97">
        <v>0.10129788940899342</v>
      </c>
      <c r="BX88" s="97">
        <v>0.112</v>
      </c>
      <c r="BY88" s="97">
        <v>0.1192</v>
      </c>
      <c r="BZ88" s="96"/>
      <c r="CA88" s="97"/>
      <c r="CB88" s="97">
        <v>5.5777E-2</v>
      </c>
      <c r="CC88" s="97">
        <v>8.6951000000000001E-2</v>
      </c>
      <c r="CD88" s="97">
        <v>0.11</v>
      </c>
      <c r="CE88" s="97"/>
      <c r="CF88" s="97">
        <v>7.8409999999999994E-2</v>
      </c>
      <c r="CG88" s="96">
        <v>9.7199999999999995E-2</v>
      </c>
      <c r="CH88" s="96">
        <v>0.1067</v>
      </c>
      <c r="CI88" s="95">
        <v>4.1251999999999997E-2</v>
      </c>
      <c r="CJ88" s="95">
        <v>4.0140000000000002E-2</v>
      </c>
      <c r="CK88" s="101">
        <v>4.3540000000000002E-2</v>
      </c>
      <c r="CL88" s="96">
        <v>0.08</v>
      </c>
      <c r="CM88" s="101">
        <v>6.7860000000000004E-2</v>
      </c>
      <c r="CN88" s="101"/>
      <c r="CO88" s="95"/>
      <c r="CP88" s="95"/>
      <c r="CQ88" s="101"/>
      <c r="CR88" s="95"/>
      <c r="CS88" s="95"/>
      <c r="CT88" s="95"/>
      <c r="CU88" s="95"/>
      <c r="CV88" s="95"/>
      <c r="CW88" s="95"/>
      <c r="CX88" s="95">
        <v>0.38146999999999998</v>
      </c>
      <c r="CY88" s="104"/>
      <c r="CZ88" s="104"/>
      <c r="DA88" s="104"/>
      <c r="DB88" s="104">
        <v>23.65</v>
      </c>
      <c r="DC88" s="104">
        <v>27.02</v>
      </c>
      <c r="DD88" s="104">
        <v>26.25</v>
      </c>
    </row>
    <row r="89" spans="1:108">
      <c r="A89" s="54">
        <v>77</v>
      </c>
      <c r="B89" s="95">
        <v>7.9140000000000002E-2</v>
      </c>
      <c r="C89" s="95">
        <v>0.11106000000000001</v>
      </c>
      <c r="D89" s="96">
        <v>2.2328000000000001E-2</v>
      </c>
      <c r="E89" s="96">
        <v>3.4424999999999997E-2</v>
      </c>
      <c r="F89" s="95">
        <v>2.4910000000000002E-2</v>
      </c>
      <c r="G89" s="95">
        <v>3.8225000000000002E-2</v>
      </c>
      <c r="H89" s="95">
        <v>4.4450999999999997E-2</v>
      </c>
      <c r="I89" s="95">
        <v>6.5215999999999996E-2</v>
      </c>
      <c r="J89" s="95">
        <v>6.5140000000000003E-2</v>
      </c>
      <c r="K89" s="95">
        <v>5.9820999999999999E-2</v>
      </c>
      <c r="L89" s="95">
        <v>4.8719999999999999E-2</v>
      </c>
      <c r="M89" s="95">
        <v>2.8433E-2</v>
      </c>
      <c r="N89" s="95">
        <v>2.5509E-2</v>
      </c>
      <c r="O89" s="95">
        <v>4.7272000000000002E-2</v>
      </c>
      <c r="P89" s="95">
        <v>4.2587E-2</v>
      </c>
      <c r="Q89" s="97">
        <v>2.0299999999999999E-2</v>
      </c>
      <c r="R89" s="97">
        <v>3.9120000000000002E-2</v>
      </c>
      <c r="S89" s="97">
        <v>1.7139999999999999E-2</v>
      </c>
      <c r="T89" s="97">
        <v>2.9770000000000001E-2</v>
      </c>
      <c r="U89" s="98">
        <v>2.23018E-2</v>
      </c>
      <c r="V89" s="99">
        <v>3.5878399999999998E-2</v>
      </c>
      <c r="W89" s="98">
        <v>1.6644599999999999E-2</v>
      </c>
      <c r="X89" s="99">
        <v>3.1721199999999998E-2</v>
      </c>
      <c r="Y89" s="100">
        <v>2.7249538800000001E-2</v>
      </c>
      <c r="Z89" s="100">
        <v>4.1221651099999999E-2</v>
      </c>
      <c r="AA89" s="100">
        <v>1.9950690300000001E-2</v>
      </c>
      <c r="AB89" s="100">
        <v>3.2597168599999997E-2</v>
      </c>
      <c r="AC89" s="95">
        <v>8.9980000000000004E-2</v>
      </c>
      <c r="AD89" s="95">
        <v>0.10399</v>
      </c>
      <c r="AE89" s="95">
        <v>8.5699999999999998E-2</v>
      </c>
      <c r="AF89" s="95">
        <v>7.0652499999999993E-2</v>
      </c>
      <c r="AG89" s="95">
        <v>6.812E-2</v>
      </c>
      <c r="AH89" s="95">
        <v>8.9215100000000006E-2</v>
      </c>
      <c r="AI89" s="95">
        <v>8.5699999999999998E-2</v>
      </c>
      <c r="AJ89" s="95">
        <v>5.9229999999999998E-2</v>
      </c>
      <c r="AK89" s="95">
        <v>7.4520000000000003E-2</v>
      </c>
      <c r="AL89" s="95">
        <v>7.7120000000000008E-2</v>
      </c>
      <c r="AM89" s="97">
        <v>8.1234000000000001E-2</v>
      </c>
      <c r="AN89" s="95">
        <v>4.0769E-2</v>
      </c>
      <c r="AO89" s="95">
        <v>6.5923999999999996E-2</v>
      </c>
      <c r="AP89" s="101">
        <v>3.0672000000000001E-2</v>
      </c>
      <c r="AQ89" s="101">
        <v>3.4079999999999999E-2</v>
      </c>
      <c r="AR89" s="101">
        <v>6.0842E-2</v>
      </c>
      <c r="AS89" s="101">
        <v>5.4758000000000001E-2</v>
      </c>
      <c r="AT89" s="101">
        <v>2.8365999999999999E-2</v>
      </c>
      <c r="AU89" s="101">
        <v>4.5171000000000003E-2</v>
      </c>
      <c r="AV89" s="95">
        <v>3.5033399999999999E-2</v>
      </c>
      <c r="AW89" s="95">
        <v>8.5427000000000003E-2</v>
      </c>
      <c r="AX89" s="95">
        <v>8.1838900000000006E-2</v>
      </c>
      <c r="AY89" s="95">
        <v>6.4683000000000004E-2</v>
      </c>
      <c r="AZ89" s="101">
        <v>3.7928000000000003E-2</v>
      </c>
      <c r="BA89" s="101" t="s">
        <v>82</v>
      </c>
      <c r="BB89" s="95">
        <v>6.2030000000000002E-2</v>
      </c>
      <c r="BC89" s="95">
        <v>0.14226</v>
      </c>
      <c r="BD89" s="95">
        <v>5.1179271958354117E-2</v>
      </c>
      <c r="BE89" s="95">
        <v>5.0944485830007803E-2</v>
      </c>
      <c r="BF89" s="95">
        <v>5.0449906940981788E-2</v>
      </c>
      <c r="BG89" s="101">
        <v>4.9960655731444162E-2</v>
      </c>
      <c r="BH89" s="95">
        <v>6.2760999999999997E-2</v>
      </c>
      <c r="BI89" s="101">
        <v>9.5930000000000001E-2</v>
      </c>
      <c r="BJ89" s="95">
        <v>3.4105000000000003E-2</v>
      </c>
      <c r="BK89" s="95">
        <v>4.6906000000000003E-2</v>
      </c>
      <c r="BL89" s="95">
        <v>0.169765</v>
      </c>
      <c r="BM89" s="95">
        <v>0.117963</v>
      </c>
      <c r="BN89" s="95">
        <v>0.13988</v>
      </c>
      <c r="BO89" s="101">
        <v>4.8503999999999999E-2</v>
      </c>
      <c r="BP89" s="101">
        <v>7.4648000000000006E-2</v>
      </c>
      <c r="BQ89" s="101">
        <v>6.3142000000000004E-2</v>
      </c>
      <c r="BR89" s="101">
        <v>3.0501E-2</v>
      </c>
      <c r="BS89" s="101">
        <v>4.8570000000000002E-2</v>
      </c>
      <c r="BT89" s="95">
        <v>6.8669999999999995E-2</v>
      </c>
      <c r="BU89" s="95">
        <v>8.5699999999999998E-2</v>
      </c>
      <c r="BV89" s="97">
        <v>0.12238</v>
      </c>
      <c r="BW89" s="97">
        <v>0.10588960739513142</v>
      </c>
      <c r="BX89" s="97">
        <v>0.111</v>
      </c>
      <c r="BY89" s="97">
        <v>0.12920000000000001</v>
      </c>
      <c r="BZ89" s="96"/>
      <c r="CA89" s="97"/>
      <c r="CB89" s="97">
        <v>5.9545000000000001E-2</v>
      </c>
      <c r="CC89" s="97">
        <v>9.2148999999999995E-2</v>
      </c>
      <c r="CD89" s="97">
        <v>0.115</v>
      </c>
      <c r="CE89" s="97"/>
      <c r="CF89" s="97">
        <v>8.2589999999999997E-2</v>
      </c>
      <c r="CG89" s="96">
        <v>0.10589999999999999</v>
      </c>
      <c r="CH89" s="96">
        <v>0.1143</v>
      </c>
      <c r="CI89" s="95">
        <v>4.6919000000000002E-2</v>
      </c>
      <c r="CJ89" s="95">
        <v>4.4010000000000001E-2</v>
      </c>
      <c r="CK89" s="101">
        <v>4.5990000000000003E-2</v>
      </c>
      <c r="CL89" s="96">
        <v>8.7999999999999995E-2</v>
      </c>
      <c r="CM89" s="101">
        <v>7.5870000000000007E-2</v>
      </c>
      <c r="CN89" s="101"/>
      <c r="CO89" s="95"/>
      <c r="CP89" s="95"/>
      <c r="CQ89" s="101"/>
      <c r="CR89" s="95"/>
      <c r="CS89" s="95"/>
      <c r="CT89" s="95"/>
      <c r="CU89" s="95"/>
      <c r="CV89" s="95"/>
      <c r="CW89" s="95"/>
      <c r="CX89" s="95">
        <v>0.44288</v>
      </c>
      <c r="CY89" s="104"/>
      <c r="CZ89" s="104"/>
      <c r="DA89" s="104"/>
      <c r="DB89" s="104">
        <v>21.4</v>
      </c>
      <c r="DC89" s="104">
        <v>27.92</v>
      </c>
      <c r="DD89" s="104">
        <v>26.89</v>
      </c>
    </row>
    <row r="90" spans="1:108">
      <c r="A90" s="54">
        <v>78</v>
      </c>
      <c r="B90" s="95">
        <v>8.6709999999999995E-2</v>
      </c>
      <c r="C90" s="95">
        <v>0.12082999999999999</v>
      </c>
      <c r="D90" s="96">
        <v>2.5158E-2</v>
      </c>
      <c r="E90" s="96">
        <v>3.7948000000000003E-2</v>
      </c>
      <c r="F90" s="95">
        <v>2.8074000000000002E-2</v>
      </c>
      <c r="G90" s="95">
        <v>4.2132000000000003E-2</v>
      </c>
      <c r="H90" s="95">
        <v>4.9513000000000001E-2</v>
      </c>
      <c r="I90" s="95">
        <v>7.1368000000000001E-2</v>
      </c>
      <c r="J90" s="95">
        <v>7.0252999999999996E-2</v>
      </c>
      <c r="K90" s="95">
        <v>6.5081E-2</v>
      </c>
      <c r="L90" s="95">
        <v>5.3499999999999999E-2</v>
      </c>
      <c r="M90" s="95">
        <v>3.2016999999999997E-2</v>
      </c>
      <c r="N90" s="95">
        <v>2.8716999999999999E-2</v>
      </c>
      <c r="O90" s="95">
        <v>5.2054000000000003E-2</v>
      </c>
      <c r="P90" s="95">
        <v>4.6951E-2</v>
      </c>
      <c r="Q90" s="97">
        <v>2.2210000000000001E-2</v>
      </c>
      <c r="R90" s="97">
        <v>4.2779999999999999E-2</v>
      </c>
      <c r="S90" s="97">
        <v>1.8759999999999999E-2</v>
      </c>
      <c r="T90" s="97">
        <v>3.261E-2</v>
      </c>
      <c r="U90" s="98">
        <v>2.4797400000000001E-2</v>
      </c>
      <c r="V90" s="99">
        <v>3.9885700000000003E-2</v>
      </c>
      <c r="W90" s="98">
        <v>1.86115E-2</v>
      </c>
      <c r="X90" s="99">
        <v>3.4842400000000003E-2</v>
      </c>
      <c r="Y90" s="100">
        <v>2.9905155499999999E-2</v>
      </c>
      <c r="Z90" s="100">
        <v>4.5131450099999998E-2</v>
      </c>
      <c r="AA90" s="100">
        <v>2.1973479099999998E-2</v>
      </c>
      <c r="AB90" s="100">
        <v>3.5857007900000001E-2</v>
      </c>
      <c r="AC90" s="95">
        <v>9.7710000000000005E-2</v>
      </c>
      <c r="AD90" s="95">
        <v>0.11259</v>
      </c>
      <c r="AE90" s="95">
        <v>9.3060000000000004E-2</v>
      </c>
      <c r="AF90" s="95">
        <v>7.6164300000000004E-2</v>
      </c>
      <c r="AG90" s="95">
        <v>7.3370000000000005E-2</v>
      </c>
      <c r="AH90" s="95">
        <v>9.6926700000000005E-2</v>
      </c>
      <c r="AI90" s="95">
        <v>9.3060000000000004E-2</v>
      </c>
      <c r="AJ90" s="95">
        <v>6.3799999999999996E-2</v>
      </c>
      <c r="AK90" s="95">
        <v>8.0920000000000006E-2</v>
      </c>
      <c r="AL90" s="95">
        <v>8.3900000000000002E-2</v>
      </c>
      <c r="AM90" s="97">
        <v>8.7909000000000001E-2</v>
      </c>
      <c r="AN90" s="95">
        <v>4.5471999999999999E-2</v>
      </c>
      <c r="AO90" s="95">
        <v>7.2595000000000007E-2</v>
      </c>
      <c r="AP90" s="101">
        <v>3.4458999999999997E-2</v>
      </c>
      <c r="AQ90" s="101">
        <v>3.8288000000000003E-2</v>
      </c>
      <c r="AR90" s="101">
        <v>6.7419999999999994E-2</v>
      </c>
      <c r="AS90" s="101">
        <v>6.0678000000000003E-2</v>
      </c>
      <c r="AT90" s="101">
        <v>3.1726999999999998E-2</v>
      </c>
      <c r="AU90" s="101">
        <v>5.0210999999999999E-2</v>
      </c>
      <c r="AV90" s="95">
        <v>3.9071300000000003E-2</v>
      </c>
      <c r="AW90" s="95">
        <v>9.3548999999999993E-2</v>
      </c>
      <c r="AX90" s="95">
        <v>8.9548100000000005E-2</v>
      </c>
      <c r="AY90" s="95">
        <v>7.084E-2</v>
      </c>
      <c r="AZ90" s="101">
        <v>4.1231999999999998E-2</v>
      </c>
      <c r="BA90" s="101" t="s">
        <v>83</v>
      </c>
      <c r="BB90" s="95">
        <v>6.4070000000000002E-2</v>
      </c>
      <c r="BC90" s="95">
        <v>0.15501999999999999</v>
      </c>
      <c r="BD90" s="95">
        <v>5.5365605408001083E-2</v>
      </c>
      <c r="BE90" s="95">
        <v>5.5114603758985768E-2</v>
      </c>
      <c r="BF90" s="95">
        <v>5.4596398163923518E-2</v>
      </c>
      <c r="BG90" s="101">
        <v>5.4091080219391935E-2</v>
      </c>
      <c r="BH90" s="95">
        <v>6.7696999999999993E-2</v>
      </c>
      <c r="BI90" s="101">
        <v>0.10452</v>
      </c>
      <c r="BJ90" s="95">
        <v>3.7595000000000003E-2</v>
      </c>
      <c r="BK90" s="95">
        <v>5.2123000000000003E-2</v>
      </c>
      <c r="BL90" s="95">
        <v>0.18563299999999999</v>
      </c>
      <c r="BM90" s="95">
        <v>0.13028300000000001</v>
      </c>
      <c r="BN90" s="95">
        <v>0.152972</v>
      </c>
      <c r="BO90" s="101">
        <v>5.2913000000000002E-2</v>
      </c>
      <c r="BP90" s="101">
        <v>8.1255999999999995E-2</v>
      </c>
      <c r="BQ90" s="101">
        <v>6.8627999999999995E-2</v>
      </c>
      <c r="BR90" s="101">
        <v>3.4114999999999999E-2</v>
      </c>
      <c r="BS90" s="101">
        <v>5.3990999999999997E-2</v>
      </c>
      <c r="BT90" s="95">
        <v>7.535E-2</v>
      </c>
      <c r="BU90" s="95">
        <v>9.3060000000000004E-2</v>
      </c>
      <c r="BV90" s="97">
        <v>0.13189000000000001</v>
      </c>
      <c r="BW90" s="97">
        <v>0.11085017813494402</v>
      </c>
      <c r="BX90" s="97">
        <v>0.11</v>
      </c>
      <c r="BY90" s="97">
        <v>0.1391</v>
      </c>
      <c r="BZ90" s="96"/>
      <c r="CA90" s="97"/>
      <c r="CB90" s="97">
        <v>6.3545000000000004E-2</v>
      </c>
      <c r="CC90" s="97">
        <v>9.7640000000000005E-2</v>
      </c>
      <c r="CD90" s="97">
        <v>0.122</v>
      </c>
      <c r="CE90" s="97"/>
      <c r="CF90" s="97">
        <v>8.6999999999999994E-2</v>
      </c>
      <c r="CG90" s="96">
        <v>0.115</v>
      </c>
      <c r="CH90" s="96">
        <v>0.12262000000000001</v>
      </c>
      <c r="CI90" s="95">
        <v>5.5370999999999997E-2</v>
      </c>
      <c r="CJ90" s="95">
        <v>4.6670000000000003E-2</v>
      </c>
      <c r="CK90" s="101">
        <v>4.8520000000000001E-2</v>
      </c>
      <c r="CL90" s="96">
        <v>9.5000000000000001E-2</v>
      </c>
      <c r="CM90" s="101">
        <v>8.4820000000000007E-2</v>
      </c>
      <c r="CN90" s="101"/>
      <c r="CO90" s="95"/>
      <c r="CP90" s="95"/>
      <c r="CQ90" s="101"/>
      <c r="CR90" s="95"/>
      <c r="CS90" s="95"/>
      <c r="CT90" s="95"/>
      <c r="CU90" s="95"/>
      <c r="CV90" s="95"/>
      <c r="CW90" s="95"/>
      <c r="CX90" s="95">
        <v>0.51909000000000005</v>
      </c>
      <c r="CY90" s="104"/>
      <c r="CZ90" s="104"/>
      <c r="DA90" s="104"/>
      <c r="DB90" s="104">
        <v>25.17</v>
      </c>
      <c r="DC90" s="104">
        <v>28.92</v>
      </c>
      <c r="DD90" s="104">
        <v>27.56</v>
      </c>
    </row>
    <row r="91" spans="1:108">
      <c r="A91" s="54">
        <v>79</v>
      </c>
      <c r="B91" s="95">
        <v>9.5159999999999995E-2</v>
      </c>
      <c r="C91" s="95">
        <v>0.13172999999999999</v>
      </c>
      <c r="D91" s="96">
        <v>2.8341000000000002E-2</v>
      </c>
      <c r="E91" s="96">
        <v>4.1812000000000002E-2</v>
      </c>
      <c r="F91" s="95">
        <v>3.1612000000000001E-2</v>
      </c>
      <c r="G91" s="95">
        <v>4.6427000000000003E-2</v>
      </c>
      <c r="H91" s="95">
        <v>5.5147000000000002E-2</v>
      </c>
      <c r="I91" s="95">
        <v>7.8113000000000002E-2</v>
      </c>
      <c r="J91" s="95">
        <v>7.5741000000000003E-2</v>
      </c>
      <c r="K91" s="95">
        <v>7.0747000000000004E-2</v>
      </c>
      <c r="L91" s="95">
        <v>5.8790000000000002E-2</v>
      </c>
      <c r="M91" s="95">
        <v>3.6028999999999999E-2</v>
      </c>
      <c r="N91" s="95">
        <v>3.2328000000000003E-2</v>
      </c>
      <c r="O91" s="95">
        <v>5.7325000000000001E-2</v>
      </c>
      <c r="P91" s="95">
        <v>5.1755000000000002E-2</v>
      </c>
      <c r="Q91" s="97">
        <v>2.4309999999999998E-2</v>
      </c>
      <c r="R91" s="97">
        <v>4.6789999999999998E-2</v>
      </c>
      <c r="S91" s="97">
        <v>2.0549999999999999E-2</v>
      </c>
      <c r="T91" s="97">
        <v>3.5729999999999998E-2</v>
      </c>
      <c r="U91" s="98">
        <v>2.76023E-2</v>
      </c>
      <c r="V91" s="99">
        <v>4.29656E-2</v>
      </c>
      <c r="W91" s="98">
        <v>2.1060300000000001E-2</v>
      </c>
      <c r="X91" s="99">
        <v>3.8234400000000002E-2</v>
      </c>
      <c r="Y91" s="100">
        <v>3.2823987200000002E-2</v>
      </c>
      <c r="Z91" s="100">
        <v>4.9411848299999998E-2</v>
      </c>
      <c r="AA91" s="100">
        <v>2.42064957E-2</v>
      </c>
      <c r="AB91" s="100">
        <v>3.9444646399999998E-2</v>
      </c>
      <c r="AC91" s="95">
        <v>0.10625</v>
      </c>
      <c r="AD91" s="95">
        <v>0.12186</v>
      </c>
      <c r="AE91" s="95">
        <v>0.10119</v>
      </c>
      <c r="AF91" s="95">
        <v>8.2305900000000001E-2</v>
      </c>
      <c r="AG91" s="95">
        <v>7.918E-2</v>
      </c>
      <c r="AH91" s="95">
        <v>0.1053509</v>
      </c>
      <c r="AI91" s="95">
        <v>0.10119</v>
      </c>
      <c r="AJ91" s="95">
        <v>6.8849999999999995E-2</v>
      </c>
      <c r="AK91" s="95">
        <v>8.7989999999999999E-2</v>
      </c>
      <c r="AL91" s="95">
        <v>9.1049999999999992E-2</v>
      </c>
      <c r="AM91" s="97">
        <v>9.5268000000000005E-2</v>
      </c>
      <c r="AN91" s="95">
        <v>5.0616000000000001E-2</v>
      </c>
      <c r="AO91" s="95">
        <v>7.9691999999999999E-2</v>
      </c>
      <c r="AP91" s="101">
        <v>3.8549E-2</v>
      </c>
      <c r="AQ91" s="101">
        <v>4.2832000000000002E-2</v>
      </c>
      <c r="AR91" s="101">
        <v>7.4582999999999997E-2</v>
      </c>
      <c r="AS91" s="101">
        <v>6.7125000000000004E-2</v>
      </c>
      <c r="AT91" s="101">
        <v>3.5361999999999998E-2</v>
      </c>
      <c r="AU91" s="101">
        <v>5.5861000000000001E-2</v>
      </c>
      <c r="AV91" s="95">
        <v>4.3391899999999997E-2</v>
      </c>
      <c r="AW91" s="95">
        <v>0.102392</v>
      </c>
      <c r="AX91" s="95">
        <v>9.7875699999999996E-2</v>
      </c>
      <c r="AY91" s="95">
        <v>7.7348E-2</v>
      </c>
      <c r="AZ91" s="101">
        <v>4.4649000000000001E-2</v>
      </c>
      <c r="BA91" s="101" t="s">
        <v>84</v>
      </c>
      <c r="BB91" s="95">
        <v>6.6839999999999997E-2</v>
      </c>
      <c r="BC91" s="95">
        <v>0.16893</v>
      </c>
      <c r="BD91" s="95">
        <v>5.9909872248069922E-2</v>
      </c>
      <c r="BE91" s="95">
        <v>5.963146918786752E-2</v>
      </c>
      <c r="BF91" s="95">
        <v>5.9091269509275707E-2</v>
      </c>
      <c r="BG91" s="101">
        <v>5.8572332422829929E-2</v>
      </c>
      <c r="BH91" s="95">
        <v>7.2997000000000006E-2</v>
      </c>
      <c r="BI91" s="101">
        <v>0.11386</v>
      </c>
      <c r="BJ91" s="95">
        <v>4.1506000000000001E-2</v>
      </c>
      <c r="BK91" s="95">
        <v>5.7926999999999999E-2</v>
      </c>
      <c r="BL91" s="95">
        <v>0.20283899999999999</v>
      </c>
      <c r="BM91" s="95">
        <v>0.14402899999999999</v>
      </c>
      <c r="BN91" s="95">
        <v>0.167188</v>
      </c>
      <c r="BO91" s="101">
        <v>5.7775E-2</v>
      </c>
      <c r="BP91" s="101">
        <v>8.8517999999999999E-2</v>
      </c>
      <c r="BQ91" s="101">
        <v>7.4648000000000006E-2</v>
      </c>
      <c r="BR91" s="101">
        <v>3.8024000000000002E-2</v>
      </c>
      <c r="BS91" s="101">
        <v>6.0066000000000001E-2</v>
      </c>
      <c r="BT91" s="95">
        <v>8.3019999999999997E-2</v>
      </c>
      <c r="BU91" s="95">
        <v>0.10119</v>
      </c>
      <c r="BV91" s="97">
        <v>0.14230000000000001</v>
      </c>
      <c r="BW91" s="97">
        <v>0.11619708986169253</v>
      </c>
      <c r="BX91" s="97">
        <v>0.109</v>
      </c>
      <c r="BY91" s="97">
        <v>0.15029999999999999</v>
      </c>
      <c r="BZ91" s="96"/>
      <c r="CA91" s="97"/>
      <c r="CB91" s="97">
        <v>6.7793000000000006E-2</v>
      </c>
      <c r="CC91" s="97">
        <v>0.103392</v>
      </c>
      <c r="CD91" s="97">
        <v>0.13200000000000001</v>
      </c>
      <c r="CE91" s="97"/>
      <c r="CF91" s="97">
        <v>9.1649999999999995E-2</v>
      </c>
      <c r="CG91" s="96">
        <v>0.1249</v>
      </c>
      <c r="CH91" s="96">
        <v>0.13303999999999999</v>
      </c>
      <c r="CI91" s="95">
        <v>6.0718000000000001E-2</v>
      </c>
      <c r="CJ91" s="95">
        <v>4.9419999999999999E-2</v>
      </c>
      <c r="CK91" s="101">
        <v>5.1130000000000002E-2</v>
      </c>
      <c r="CL91" s="96">
        <v>0.1042</v>
      </c>
      <c r="CM91" s="101">
        <v>9.4820000000000002E-2</v>
      </c>
      <c r="CN91" s="101"/>
      <c r="CO91" s="95"/>
      <c r="CP91" s="95"/>
      <c r="CQ91" s="101"/>
      <c r="CR91" s="95"/>
      <c r="CS91" s="95"/>
      <c r="CT91" s="95"/>
      <c r="CU91" s="95"/>
      <c r="CV91" s="95"/>
      <c r="CW91" s="95"/>
      <c r="CX91" s="95">
        <v>0.61319999999999997</v>
      </c>
      <c r="CY91" s="104"/>
      <c r="CZ91" s="104"/>
      <c r="DA91" s="104"/>
      <c r="DB91" s="104">
        <v>25.95</v>
      </c>
      <c r="DC91" s="104">
        <v>30.01</v>
      </c>
      <c r="DD91" s="104">
        <v>28.23</v>
      </c>
    </row>
    <row r="92" spans="1:108">
      <c r="A92" s="54">
        <v>80</v>
      </c>
      <c r="B92" s="95">
        <v>0.10452</v>
      </c>
      <c r="C92" s="95">
        <v>0.14446999999999999</v>
      </c>
      <c r="D92" s="96">
        <v>3.1933000000000003E-2</v>
      </c>
      <c r="E92" s="96">
        <v>4.6037000000000002E-2</v>
      </c>
      <c r="F92" s="95">
        <v>3.5580000000000001E-2</v>
      </c>
      <c r="G92" s="95">
        <v>5.1128E-2</v>
      </c>
      <c r="H92" s="95">
        <v>6.1414999999999997E-2</v>
      </c>
      <c r="I92" s="95">
        <v>8.5502999999999996E-2</v>
      </c>
      <c r="J92" s="95">
        <v>8.1626999999999991E-2</v>
      </c>
      <c r="K92" s="95">
        <v>7.6846999999999999E-2</v>
      </c>
      <c r="L92" s="95">
        <v>6.4600000000000005E-2</v>
      </c>
      <c r="M92" s="95">
        <v>4.0524999999999999E-2</v>
      </c>
      <c r="N92" s="95">
        <v>3.6394999999999997E-2</v>
      </c>
      <c r="O92" s="95">
        <v>6.3131999999999994E-2</v>
      </c>
      <c r="P92" s="95">
        <v>5.7026E-2</v>
      </c>
      <c r="Q92" s="97">
        <v>2.674E-2</v>
      </c>
      <c r="R92" s="97">
        <v>5.1180000000000003E-2</v>
      </c>
      <c r="S92" s="97">
        <v>2.264E-2</v>
      </c>
      <c r="T92" s="97">
        <v>3.9140000000000001E-2</v>
      </c>
      <c r="U92" s="98">
        <v>3.09387E-2</v>
      </c>
      <c r="V92" s="99">
        <v>4.7917399999999999E-2</v>
      </c>
      <c r="W92" s="98">
        <v>2.4047300000000001E-2</v>
      </c>
      <c r="X92" s="99">
        <v>4.1785200000000002E-2</v>
      </c>
      <c r="Y92" s="100">
        <v>3.6031467300000002E-2</v>
      </c>
      <c r="Z92" s="100">
        <v>5.4094347899999999E-2</v>
      </c>
      <c r="AA92" s="100">
        <v>2.66704878E-2</v>
      </c>
      <c r="AB92" s="100">
        <v>4.3396132800000001E-2</v>
      </c>
      <c r="AC92" s="95">
        <v>0.11548</v>
      </c>
      <c r="AD92" s="95">
        <v>0.13184999999999999</v>
      </c>
      <c r="AE92" s="95">
        <v>0.10997999999999999</v>
      </c>
      <c r="AF92" s="95">
        <v>8.9215100000000006E-2</v>
      </c>
      <c r="AG92" s="95">
        <v>8.5699999999999998E-2</v>
      </c>
      <c r="AH92" s="95">
        <v>0.11439240000000001</v>
      </c>
      <c r="AI92" s="95">
        <v>0.10997999999999999</v>
      </c>
      <c r="AJ92" s="95">
        <v>7.4520000000000003E-2</v>
      </c>
      <c r="AK92" s="95">
        <v>9.5640000000000003E-2</v>
      </c>
      <c r="AL92" s="95">
        <v>9.8839999999999997E-2</v>
      </c>
      <c r="AM92" s="97">
        <v>0.103168</v>
      </c>
      <c r="AN92" s="95">
        <v>5.6085000000000003E-2</v>
      </c>
      <c r="AO92" s="95">
        <v>8.7430999999999995E-2</v>
      </c>
      <c r="AP92" s="101">
        <v>4.2944999999999997E-2</v>
      </c>
      <c r="AQ92" s="101">
        <v>4.7717000000000002E-2</v>
      </c>
      <c r="AR92" s="101">
        <v>8.2299999999999998E-2</v>
      </c>
      <c r="AS92" s="101">
        <v>7.4069999999999997E-2</v>
      </c>
      <c r="AT92" s="101">
        <v>3.9396E-2</v>
      </c>
      <c r="AU92" s="101">
        <v>6.2026999999999999E-2</v>
      </c>
      <c r="AV92" s="95">
        <v>4.7999899999999998E-2</v>
      </c>
      <c r="AW92" s="95">
        <v>0.112012</v>
      </c>
      <c r="AX92" s="95">
        <v>0.10684979999999999</v>
      </c>
      <c r="AY92" s="95">
        <v>8.4205000000000002E-2</v>
      </c>
      <c r="AZ92" s="101">
        <v>4.8159E-2</v>
      </c>
      <c r="BA92" s="101" t="s">
        <v>85</v>
      </c>
      <c r="BB92" s="95"/>
      <c r="BC92" s="95">
        <v>0.18396999999999999</v>
      </c>
      <c r="BD92" s="95">
        <v>1</v>
      </c>
      <c r="BE92" s="95">
        <v>1</v>
      </c>
      <c r="BF92" s="95">
        <v>1</v>
      </c>
      <c r="BG92" s="101">
        <v>1</v>
      </c>
      <c r="BH92" s="95">
        <v>7.8684000000000004E-2</v>
      </c>
      <c r="BI92" s="101">
        <v>0.12403</v>
      </c>
      <c r="BJ92" s="95">
        <v>4.5879000000000003E-2</v>
      </c>
      <c r="BK92" s="95">
        <v>6.4367999999999995E-2</v>
      </c>
      <c r="BL92" s="95">
        <v>0.22146399999999999</v>
      </c>
      <c r="BM92" s="95">
        <v>0.15904299999999999</v>
      </c>
      <c r="BN92" s="95">
        <v>0.18260399999999999</v>
      </c>
      <c r="BO92" s="101">
        <v>6.3142000000000004E-2</v>
      </c>
      <c r="BP92" s="101">
        <v>9.6217999999999998E-2</v>
      </c>
      <c r="BQ92" s="101">
        <v>8.1255999999999995E-2</v>
      </c>
      <c r="BR92" s="101">
        <v>4.2361000000000003E-2</v>
      </c>
      <c r="BS92" s="101">
        <v>6.6696000000000005E-2</v>
      </c>
      <c r="BT92" s="95">
        <v>9.2079999999999995E-2</v>
      </c>
      <c r="BU92" s="95">
        <v>0.10997999999999999</v>
      </c>
      <c r="BV92" s="97">
        <v>0.156</v>
      </c>
      <c r="BW92" s="97">
        <v>0.12194845216356431</v>
      </c>
      <c r="BX92" s="97">
        <v>0.112</v>
      </c>
      <c r="BY92" s="97">
        <v>0.16339999999999999</v>
      </c>
      <c r="BZ92" s="96"/>
      <c r="CA92" s="97"/>
      <c r="CB92" s="97">
        <v>7.2312000000000001E-2</v>
      </c>
      <c r="CC92" s="97">
        <v>0.109372</v>
      </c>
      <c r="CD92" s="97">
        <v>0.14399999999999999</v>
      </c>
      <c r="CE92" s="97"/>
      <c r="CF92" s="97">
        <v>9.6540000000000001E-2</v>
      </c>
      <c r="CG92" s="96">
        <v>0.13550000000000001</v>
      </c>
      <c r="CH92" s="96">
        <v>0.14426</v>
      </c>
      <c r="CI92" s="95">
        <v>6.9084000000000007E-2</v>
      </c>
      <c r="CJ92" s="95" t="s">
        <v>206</v>
      </c>
      <c r="CK92" s="101">
        <v>5.382E-2</v>
      </c>
      <c r="CL92" s="96">
        <v>0.11360000000000001</v>
      </c>
      <c r="CM92" s="101"/>
      <c r="CN92" s="101"/>
      <c r="CO92" s="95"/>
      <c r="CP92" s="95"/>
      <c r="CQ92" s="101"/>
      <c r="CR92" s="95"/>
      <c r="CS92" s="95"/>
      <c r="CT92" s="95"/>
      <c r="CU92" s="95"/>
      <c r="CV92" s="95"/>
      <c r="CW92" s="95"/>
      <c r="CX92" s="95">
        <v>0.74399000000000004</v>
      </c>
      <c r="CY92" s="104"/>
      <c r="CZ92" s="104"/>
      <c r="DA92" s="104"/>
      <c r="DB92" s="104">
        <v>26.75</v>
      </c>
      <c r="DC92" s="104">
        <v>31.31</v>
      </c>
      <c r="DD92" s="104"/>
    </row>
    <row r="93" spans="1:108">
      <c r="A93" s="54">
        <v>81</v>
      </c>
      <c r="B93" s="95" t="s">
        <v>206</v>
      </c>
      <c r="C93" s="95">
        <v>0.15859999999999999</v>
      </c>
      <c r="D93" s="96">
        <v>3.5985000000000003E-2</v>
      </c>
      <c r="E93" s="96">
        <v>5.0643000000000001E-2</v>
      </c>
      <c r="F93" s="95">
        <v>4.0030000000000003E-2</v>
      </c>
      <c r="G93" s="95">
        <v>5.6250000000000001E-2</v>
      </c>
      <c r="H93" s="95">
        <v>6.8382999999999999E-2</v>
      </c>
      <c r="I93" s="95">
        <v>9.3592999999999996E-2</v>
      </c>
      <c r="J93" s="95">
        <v>8.7937000000000001E-2</v>
      </c>
      <c r="K93" s="95">
        <v>8.3410999999999999E-2</v>
      </c>
      <c r="L93" s="95">
        <v>7.0900000000000005E-2</v>
      </c>
      <c r="M93" s="95">
        <v>4.5560999999999997E-2</v>
      </c>
      <c r="N93" s="95">
        <v>4.0974999999999998E-2</v>
      </c>
      <c r="O93" s="95">
        <v>6.9523000000000001E-2</v>
      </c>
      <c r="P93" s="95">
        <v>6.2791E-2</v>
      </c>
      <c r="Q93" s="97">
        <v>2.962E-2</v>
      </c>
      <c r="R93" s="97">
        <v>5.5980000000000002E-2</v>
      </c>
      <c r="S93" s="97">
        <v>2.5159999999999998E-2</v>
      </c>
      <c r="T93" s="97">
        <v>4.2889999999999998E-2</v>
      </c>
      <c r="U93" s="98">
        <v>3.4852000000000001E-2</v>
      </c>
      <c r="V93" s="99">
        <v>5.2841899999999997E-2</v>
      </c>
      <c r="W93" s="98">
        <v>2.7336800000000001E-2</v>
      </c>
      <c r="X93" s="99">
        <v>4.5798899999999997E-2</v>
      </c>
      <c r="Y93" s="100">
        <v>3.9555013100000001E-2</v>
      </c>
      <c r="Z93" s="100">
        <v>5.9213481399999997E-2</v>
      </c>
      <c r="AA93" s="100">
        <v>2.9390611899999999E-2</v>
      </c>
      <c r="AB93" s="100">
        <v>4.77439739E-2</v>
      </c>
      <c r="AC93" s="95">
        <v>0.12531999999999999</v>
      </c>
      <c r="AD93" s="95">
        <v>0.1426</v>
      </c>
      <c r="AE93" s="95">
        <v>0.11935</v>
      </c>
      <c r="AF93" s="95">
        <v>9.6926700000000005E-2</v>
      </c>
      <c r="AG93" s="95">
        <v>9.3060000000000004E-2</v>
      </c>
      <c r="AH93" s="95">
        <v>0.12394810000000001</v>
      </c>
      <c r="AI93" s="95">
        <v>0.11935</v>
      </c>
      <c r="AJ93" s="95">
        <v>8.0920000000000006E-2</v>
      </c>
      <c r="AK93" s="95">
        <v>0.10378</v>
      </c>
      <c r="AL93" s="95">
        <v>0.10748000000000001</v>
      </c>
      <c r="AM93" s="97">
        <v>0.111553</v>
      </c>
      <c r="AN93" s="95">
        <v>6.1852999999999998E-2</v>
      </c>
      <c r="AO93" s="95">
        <v>9.5445000000000002E-2</v>
      </c>
      <c r="AP93" s="101">
        <v>4.7655000000000003E-2</v>
      </c>
      <c r="AQ93" s="101">
        <v>5.2949999999999997E-2</v>
      </c>
      <c r="AR93" s="101">
        <v>9.0537999999999993E-2</v>
      </c>
      <c r="AS93" s="101">
        <v>8.1484000000000001E-2</v>
      </c>
      <c r="AT93" s="101">
        <v>4.3951999999999998E-2</v>
      </c>
      <c r="AU93" s="101">
        <v>6.8614999999999995E-2</v>
      </c>
      <c r="AV93" s="95">
        <v>5.2900000000000003E-2</v>
      </c>
      <c r="AW93" s="95">
        <v>0.122464</v>
      </c>
      <c r="AX93" s="95">
        <v>0.11649610000000001</v>
      </c>
      <c r="AY93" s="95">
        <v>9.1412000000000007E-2</v>
      </c>
      <c r="AZ93" s="101">
        <v>5.1742999999999997E-2</v>
      </c>
      <c r="BA93" s="101" t="s">
        <v>86</v>
      </c>
      <c r="BB93" s="95"/>
      <c r="BC93" s="95">
        <v>0.20014000000000001</v>
      </c>
      <c r="BD93" s="95"/>
      <c r="BE93" s="95"/>
      <c r="BF93" s="95"/>
      <c r="BG93" s="101"/>
      <c r="BH93" s="95">
        <v>8.4781999999999996E-2</v>
      </c>
      <c r="BI93" s="101">
        <v>0.13508000000000001</v>
      </c>
      <c r="BJ93" s="95">
        <v>5.0779999999999999E-2</v>
      </c>
      <c r="BK93" s="95">
        <v>7.2040999999999994E-2</v>
      </c>
      <c r="BL93" s="95">
        <v>0.241589</v>
      </c>
      <c r="BM93" s="95">
        <v>0.176815</v>
      </c>
      <c r="BN93" s="95">
        <v>0.199296</v>
      </c>
      <c r="BO93" s="101">
        <v>6.8627999999999995E-2</v>
      </c>
      <c r="BP93" s="101">
        <v>0.10431</v>
      </c>
      <c r="BQ93" s="101">
        <v>8.8517999999999999E-2</v>
      </c>
      <c r="BR93" s="101">
        <v>4.7260000000000003E-2</v>
      </c>
      <c r="BS93" s="101">
        <v>7.3779999999999998E-2</v>
      </c>
      <c r="BT93" s="95"/>
      <c r="BU93" s="95">
        <v>0.11935</v>
      </c>
      <c r="BV93" s="97">
        <v>0.17136999999999999</v>
      </c>
      <c r="BW93" s="97">
        <v>0.12812295876556579</v>
      </c>
      <c r="BX93" s="97">
        <v>0.126</v>
      </c>
      <c r="BY93" s="97">
        <v>0.1741</v>
      </c>
      <c r="BZ93" s="96"/>
      <c r="CA93" s="97"/>
      <c r="CB93" s="97">
        <v>7.7134999999999995E-2</v>
      </c>
      <c r="CC93" s="97">
        <v>0.11554399999999999</v>
      </c>
      <c r="CD93" s="97">
        <v>0.159</v>
      </c>
      <c r="CE93" s="97"/>
      <c r="CF93" s="97">
        <v>0.10170999999999999</v>
      </c>
      <c r="CG93" s="96"/>
      <c r="CH93" s="96">
        <v>0.15648999999999999</v>
      </c>
      <c r="CI93" s="95">
        <v>7.8607999999999997E-2</v>
      </c>
      <c r="CJ93" s="95" t="s">
        <v>206</v>
      </c>
      <c r="CK93" s="101">
        <v>5.6590000000000001E-2</v>
      </c>
      <c r="CL93" s="96">
        <v>0.1232</v>
      </c>
      <c r="CM93" s="101"/>
      <c r="CN93" s="101"/>
      <c r="CO93" s="95"/>
      <c r="CP93" s="95"/>
      <c r="CQ93" s="101"/>
      <c r="CR93" s="95"/>
      <c r="CS93" s="95"/>
      <c r="CT93" s="95"/>
      <c r="CU93" s="95"/>
      <c r="CV93" s="95"/>
      <c r="CW93" s="95"/>
      <c r="CX93" s="95">
        <v>0.92</v>
      </c>
      <c r="CY93" s="103"/>
      <c r="CZ93" s="103"/>
      <c r="DA93" s="103"/>
      <c r="DB93" s="103"/>
      <c r="DC93" s="103"/>
      <c r="DD93" s="103"/>
    </row>
    <row r="94" spans="1:108">
      <c r="A94" s="54">
        <v>82</v>
      </c>
      <c r="B94" s="95" t="s">
        <v>206</v>
      </c>
      <c r="C94" s="95">
        <v>0.17430000000000001</v>
      </c>
      <c r="D94" s="96">
        <v>4.0551999999999998E-2</v>
      </c>
      <c r="E94" s="96">
        <v>5.5650999999999999E-2</v>
      </c>
      <c r="F94" s="95">
        <v>4.5017000000000001E-2</v>
      </c>
      <c r="G94" s="95">
        <v>6.1809000000000003E-2</v>
      </c>
      <c r="H94" s="95">
        <v>7.6120999999999994E-2</v>
      </c>
      <c r="I94" s="95">
        <v>0.10244300000000001</v>
      </c>
      <c r="J94" s="95">
        <v>9.4700000000000006E-2</v>
      </c>
      <c r="K94" s="95">
        <v>9.047100000000001E-2</v>
      </c>
      <c r="L94" s="95">
        <v>7.7670000000000003E-2</v>
      </c>
      <c r="M94" s="95">
        <v>5.1194000000000003E-2</v>
      </c>
      <c r="N94" s="95">
        <v>4.6121000000000002E-2</v>
      </c>
      <c r="O94" s="95">
        <v>7.6547000000000004E-2</v>
      </c>
      <c r="P94" s="95">
        <v>6.9081000000000004E-2</v>
      </c>
      <c r="Q94" s="97">
        <v>3.3070000000000002E-2</v>
      </c>
      <c r="R94" s="97">
        <v>6.1249999999999999E-2</v>
      </c>
      <c r="S94" s="97">
        <v>2.8170000000000001E-2</v>
      </c>
      <c r="T94" s="97">
        <v>4.7E-2</v>
      </c>
      <c r="U94" s="98">
        <v>3.9465899999999998E-2</v>
      </c>
      <c r="V94" s="99">
        <v>5.8654199999999997E-2</v>
      </c>
      <c r="W94" s="98">
        <v>3.0790700000000001E-2</v>
      </c>
      <c r="X94" s="99">
        <v>4.9947999999999999E-2</v>
      </c>
      <c r="Y94" s="100">
        <v>4.3428125400000003E-2</v>
      </c>
      <c r="Z94" s="100">
        <v>6.4808708000000007E-2</v>
      </c>
      <c r="AA94" s="100">
        <v>3.2397357799999998E-2</v>
      </c>
      <c r="AB94" s="100">
        <v>5.2534810100000003E-2</v>
      </c>
      <c r="AC94" s="95">
        <v>0.13563</v>
      </c>
      <c r="AD94" s="95">
        <v>0.15415999999999999</v>
      </c>
      <c r="AE94" s="95">
        <v>0.12917000000000001</v>
      </c>
      <c r="AF94" s="95">
        <v>0.1053509</v>
      </c>
      <c r="AG94" s="95">
        <v>0.10119</v>
      </c>
      <c r="AH94" s="95">
        <v>0.1339226</v>
      </c>
      <c r="AI94" s="95">
        <v>0.12917000000000001</v>
      </c>
      <c r="AJ94" s="95">
        <v>8.7989999999999999E-2</v>
      </c>
      <c r="AK94" s="95">
        <v>0.11232</v>
      </c>
      <c r="AL94" s="95">
        <v>0.11724999999999999</v>
      </c>
      <c r="AM94" s="97">
        <v>0.120277</v>
      </c>
      <c r="AN94" s="95">
        <v>6.7935999999999996E-2</v>
      </c>
      <c r="AO94" s="95">
        <v>0.10369100000000001</v>
      </c>
      <c r="AP94" s="101">
        <v>5.2691000000000002E-2</v>
      </c>
      <c r="AQ94" s="101">
        <v>5.8546000000000001E-2</v>
      </c>
      <c r="AR94" s="101">
        <v>9.9243999999999999E-2</v>
      </c>
      <c r="AS94" s="101">
        <v>8.9319999999999997E-2</v>
      </c>
      <c r="AT94" s="101">
        <v>4.9153000000000002E-2</v>
      </c>
      <c r="AU94" s="101">
        <v>7.5532000000000002E-2</v>
      </c>
      <c r="AV94" s="95">
        <v>5.8097000000000003E-2</v>
      </c>
      <c r="AW94" s="95">
        <v>0.13380600000000001</v>
      </c>
      <c r="AX94" s="95">
        <v>0.12683639999999999</v>
      </c>
      <c r="AY94" s="95">
        <v>9.8968999999999988E-2</v>
      </c>
      <c r="AZ94" s="101">
        <v>5.5383000000000002E-2</v>
      </c>
      <c r="BA94" s="101" t="s">
        <v>87</v>
      </c>
      <c r="BB94" s="95"/>
      <c r="BC94" s="95">
        <v>0.21787999999999999</v>
      </c>
      <c r="BD94" s="95"/>
      <c r="BE94" s="95"/>
      <c r="BF94" s="95"/>
      <c r="BG94" s="101"/>
      <c r="BH94" s="95">
        <v>9.1318999999999997E-2</v>
      </c>
      <c r="BI94" s="101">
        <v>0.14707999999999999</v>
      </c>
      <c r="BJ94" s="95">
        <v>5.6293999999999997E-2</v>
      </c>
      <c r="BK94" s="95">
        <v>8.0486000000000002E-2</v>
      </c>
      <c r="BL94" s="95">
        <v>0.26319999999999999</v>
      </c>
      <c r="BM94" s="95">
        <v>0.195857</v>
      </c>
      <c r="BN94" s="95">
        <v>0.217339</v>
      </c>
      <c r="BO94" s="101">
        <v>7.4648000000000006E-2</v>
      </c>
      <c r="BP94" s="101">
        <v>0.112816</v>
      </c>
      <c r="BQ94" s="101">
        <v>9.6217999999999998E-2</v>
      </c>
      <c r="BR94" s="101">
        <v>5.2852999999999997E-2</v>
      </c>
      <c r="BS94" s="101">
        <v>8.1216999999999998E-2</v>
      </c>
      <c r="BT94" s="95"/>
      <c r="BU94" s="95">
        <v>0.12917000000000001</v>
      </c>
      <c r="BV94" s="97">
        <v>0.18711</v>
      </c>
      <c r="BW94" s="97">
        <v>0.13473983934920186</v>
      </c>
      <c r="BX94" s="97">
        <v>0.14099999999999999</v>
      </c>
      <c r="BY94" s="97">
        <v>0.18920000000000001</v>
      </c>
      <c r="BZ94" s="96"/>
      <c r="CA94" s="97"/>
      <c r="CB94" s="97">
        <v>8.2297999999999996E-2</v>
      </c>
      <c r="CC94" s="97">
        <v>0.121877</v>
      </c>
      <c r="CD94" s="97">
        <v>0.17399999999999999</v>
      </c>
      <c r="CE94" s="97"/>
      <c r="CF94" s="97">
        <v>0.10715</v>
      </c>
      <c r="CG94" s="96"/>
      <c r="CH94" s="96"/>
      <c r="CI94" s="95">
        <v>8.9453000000000005E-2</v>
      </c>
      <c r="CJ94" s="95" t="s">
        <v>206</v>
      </c>
      <c r="CK94" s="101">
        <v>5.944E-2</v>
      </c>
      <c r="CL94" s="96">
        <v>0.13300000000000001</v>
      </c>
      <c r="CM94" s="101"/>
      <c r="CN94" s="101"/>
      <c r="CO94" s="95"/>
      <c r="CP94" s="95"/>
      <c r="CQ94" s="101"/>
      <c r="CR94" s="95"/>
      <c r="CS94" s="95"/>
      <c r="CT94" s="95"/>
      <c r="CU94" s="95"/>
      <c r="CV94" s="95"/>
      <c r="CW94" s="95"/>
      <c r="CX94" s="95">
        <v>1</v>
      </c>
      <c r="CY94" s="103"/>
      <c r="CZ94" s="103"/>
      <c r="DA94" s="103"/>
      <c r="DB94" s="103"/>
      <c r="DC94" s="103"/>
      <c r="DD94" s="103"/>
    </row>
    <row r="95" spans="1:108">
      <c r="A95" s="54">
        <v>83</v>
      </c>
      <c r="B95" s="95" t="s">
        <v>206</v>
      </c>
      <c r="C95" s="95">
        <v>0.19156000000000001</v>
      </c>
      <c r="D95" s="96">
        <v>4.5690000000000001E-2</v>
      </c>
      <c r="E95" s="96">
        <v>6.1080000000000002E-2</v>
      </c>
      <c r="F95" s="95">
        <v>5.0599999999999999E-2</v>
      </c>
      <c r="G95" s="95">
        <v>6.7825999999999997E-2</v>
      </c>
      <c r="H95" s="95">
        <v>8.4707000000000005E-2</v>
      </c>
      <c r="I95" s="95">
        <v>0.112113</v>
      </c>
      <c r="J95" s="95">
        <v>0.10194400000000001</v>
      </c>
      <c r="K95" s="95">
        <v>9.8061000000000009E-2</v>
      </c>
      <c r="L95" s="95">
        <v>8.4940000000000002E-2</v>
      </c>
      <c r="M95" s="95">
        <v>5.7482999999999999E-2</v>
      </c>
      <c r="N95" s="95">
        <v>5.1888999999999998E-2</v>
      </c>
      <c r="O95" s="95">
        <v>8.4228999999999998E-2</v>
      </c>
      <c r="P95" s="95">
        <v>7.5908000000000003E-2</v>
      </c>
      <c r="Q95" s="97">
        <v>3.7109999999999997E-2</v>
      </c>
      <c r="R95" s="97">
        <v>6.701E-2</v>
      </c>
      <c r="S95" s="97">
        <v>3.1759999999999997E-2</v>
      </c>
      <c r="T95" s="97">
        <v>5.1499999999999997E-2</v>
      </c>
      <c r="U95" s="98">
        <v>4.4495300000000002E-2</v>
      </c>
      <c r="V95" s="99">
        <v>6.3822699999999996E-2</v>
      </c>
      <c r="W95" s="98">
        <v>3.4290800000000003E-2</v>
      </c>
      <c r="X95" s="99">
        <v>5.44018E-2</v>
      </c>
      <c r="Y95" s="100">
        <v>4.76853125E-2</v>
      </c>
      <c r="Z95" s="100">
        <v>7.0923478299999995E-2</v>
      </c>
      <c r="AA95" s="100">
        <v>3.5719020099999998E-2</v>
      </c>
      <c r="AB95" s="100">
        <v>5.7814844499999997E-2</v>
      </c>
      <c r="AC95" s="95">
        <v>0.14635000000000001</v>
      </c>
      <c r="AD95" s="95">
        <v>0.16657</v>
      </c>
      <c r="AE95" s="95">
        <v>0.13938</v>
      </c>
      <c r="AF95" s="95">
        <v>0.11439240000000001</v>
      </c>
      <c r="AG95" s="95">
        <v>0.10997999999999999</v>
      </c>
      <c r="AH95" s="95">
        <v>0.14429729999999999</v>
      </c>
      <c r="AI95" s="95">
        <v>0.13938</v>
      </c>
      <c r="AJ95" s="95">
        <v>9.5640000000000003E-2</v>
      </c>
      <c r="AK95" s="95">
        <v>0.1212</v>
      </c>
      <c r="AL95" s="95">
        <v>0.12825999999999999</v>
      </c>
      <c r="AM95" s="97">
        <v>0.12928100000000001</v>
      </c>
      <c r="AN95" s="95">
        <v>7.4351E-2</v>
      </c>
      <c r="AO95" s="95">
        <v>0.112303</v>
      </c>
      <c r="AP95" s="101">
        <v>5.8070999999999998E-2</v>
      </c>
      <c r="AQ95" s="101">
        <v>6.4522999999999997E-2</v>
      </c>
      <c r="AR95" s="101">
        <v>0.108361</v>
      </c>
      <c r="AS95" s="101">
        <v>9.7525000000000001E-2</v>
      </c>
      <c r="AT95" s="101">
        <v>5.4857000000000003E-2</v>
      </c>
      <c r="AU95" s="101">
        <v>8.251E-2</v>
      </c>
      <c r="AV95" s="95">
        <v>6.3595700000000005E-2</v>
      </c>
      <c r="AW95" s="95">
        <v>0.14609900000000001</v>
      </c>
      <c r="AX95" s="95">
        <v>0.13788810000000001</v>
      </c>
      <c r="AY95" s="95">
        <v>0.106876</v>
      </c>
      <c r="AZ95" s="101">
        <v>5.9062000000000003E-2</v>
      </c>
      <c r="BA95" s="101" t="s">
        <v>88</v>
      </c>
      <c r="BB95" s="95"/>
      <c r="BC95" s="95">
        <v>0.23677000000000001</v>
      </c>
      <c r="BD95" s="95"/>
      <c r="BE95" s="95"/>
      <c r="BF95" s="95"/>
      <c r="BG95" s="101"/>
      <c r="BH95" s="95">
        <v>9.8322000000000007E-2</v>
      </c>
      <c r="BI95" s="101">
        <v>0.16009000000000001</v>
      </c>
      <c r="BJ95" s="95">
        <v>6.2506000000000006E-2</v>
      </c>
      <c r="BK95" s="95">
        <v>8.9718000000000006E-2</v>
      </c>
      <c r="BL95" s="95">
        <v>0.28664000000000001</v>
      </c>
      <c r="BM95" s="95">
        <v>0.216109</v>
      </c>
      <c r="BN95" s="95">
        <v>0.23680999999999999</v>
      </c>
      <c r="BO95" s="101">
        <v>8.1255999999999995E-2</v>
      </c>
      <c r="BP95" s="101">
        <v>0.12207899999999999</v>
      </c>
      <c r="BQ95" s="101">
        <v>0.10431</v>
      </c>
      <c r="BR95" s="101">
        <v>5.8985999999999997E-2</v>
      </c>
      <c r="BS95" s="101">
        <v>8.8720999999999994E-2</v>
      </c>
      <c r="BT95" s="95"/>
      <c r="BU95" s="95">
        <v>0.13938</v>
      </c>
      <c r="BV95" s="97">
        <v>0.20057</v>
      </c>
      <c r="BW95" s="97">
        <v>0.1418187989427151</v>
      </c>
      <c r="BX95" s="97">
        <v>0.158</v>
      </c>
      <c r="BY95" s="97">
        <v>0.20349999999999999</v>
      </c>
      <c r="BZ95" s="96"/>
      <c r="CA95" s="97"/>
      <c r="CB95" s="97">
        <v>8.7837999999999999E-2</v>
      </c>
      <c r="CC95" s="97">
        <v>0.12834300000000001</v>
      </c>
      <c r="CD95" s="97">
        <v>0.192</v>
      </c>
      <c r="CE95" s="97"/>
      <c r="CF95" s="97">
        <v>0.11287</v>
      </c>
      <c r="CG95" s="96"/>
      <c r="CH95" s="96"/>
      <c r="CI95" s="95">
        <v>0.1018</v>
      </c>
      <c r="CJ95" s="95" t="s">
        <v>206</v>
      </c>
      <c r="CK95" s="101">
        <v>6.2370000000000002E-2</v>
      </c>
      <c r="CL95" s="96">
        <v>0.14799999999999999</v>
      </c>
      <c r="CM95" s="101"/>
      <c r="CN95" s="101"/>
      <c r="CO95" s="95"/>
      <c r="CP95" s="95"/>
      <c r="CQ95" s="101"/>
      <c r="CR95" s="95"/>
      <c r="CS95" s="95"/>
      <c r="CT95" s="95"/>
      <c r="CU95" s="95"/>
      <c r="CV95" s="95"/>
      <c r="CW95" s="95"/>
      <c r="CX95" s="95">
        <v>1</v>
      </c>
      <c r="CY95" s="103"/>
      <c r="CZ95" s="103"/>
      <c r="DA95" s="103"/>
      <c r="DB95" s="103"/>
      <c r="DC95" s="103"/>
      <c r="DD95" s="103"/>
    </row>
    <row r="96" spans="1:108">
      <c r="A96" s="54">
        <v>84</v>
      </c>
      <c r="B96" s="95" t="s">
        <v>206</v>
      </c>
      <c r="C96" s="95">
        <v>0.21136000000000002</v>
      </c>
      <c r="D96" s="96">
        <v>5.1456000000000002E-2</v>
      </c>
      <c r="E96" s="96">
        <v>6.6947999999999994E-2</v>
      </c>
      <c r="F96" s="95">
        <v>5.6864999999999999E-2</v>
      </c>
      <c r="G96" s="95">
        <v>7.4321999999999999E-2</v>
      </c>
      <c r="H96" s="95">
        <v>9.4224000000000002E-2</v>
      </c>
      <c r="I96" s="95">
        <v>0.122669</v>
      </c>
      <c r="J96" s="95">
        <v>0.109694</v>
      </c>
      <c r="K96" s="95">
        <v>0.10621699999999999</v>
      </c>
      <c r="L96" s="95">
        <v>9.2869999999999994E-2</v>
      </c>
      <c r="M96" s="95">
        <v>6.4512E-2</v>
      </c>
      <c r="N96" s="95">
        <v>5.8335999999999999E-2</v>
      </c>
      <c r="O96" s="95">
        <v>9.2497999999999997E-2</v>
      </c>
      <c r="P96" s="95">
        <v>8.3229999999999998E-2</v>
      </c>
      <c r="Q96" s="97">
        <v>4.1849999999999998E-2</v>
      </c>
      <c r="R96" s="97">
        <v>7.3319999999999996E-2</v>
      </c>
      <c r="S96" s="97">
        <v>3.5770000000000003E-2</v>
      </c>
      <c r="T96" s="97">
        <v>5.645E-2</v>
      </c>
      <c r="U96" s="98">
        <v>4.9722500000000003E-2</v>
      </c>
      <c r="V96" s="99">
        <v>6.94993E-2</v>
      </c>
      <c r="W96" s="98">
        <v>3.8171299999999998E-2</v>
      </c>
      <c r="X96" s="99">
        <v>5.9700099999999999E-2</v>
      </c>
      <c r="Y96" s="100">
        <v>5.23680636E-2</v>
      </c>
      <c r="Z96" s="100">
        <v>7.7606261499999996E-2</v>
      </c>
      <c r="AA96" s="100">
        <v>3.9389307599999999E-2</v>
      </c>
      <c r="AB96" s="100">
        <v>6.3624140699999998E-2</v>
      </c>
      <c r="AC96" s="95">
        <v>0.15751000000000001</v>
      </c>
      <c r="AD96" s="95">
        <v>0.17988000000000001</v>
      </c>
      <c r="AE96" s="95">
        <v>0.15001</v>
      </c>
      <c r="AF96" s="95">
        <v>0.12394810000000001</v>
      </c>
      <c r="AG96" s="95">
        <v>0.11935</v>
      </c>
      <c r="AH96" s="95">
        <v>0.15512409999999999</v>
      </c>
      <c r="AI96" s="95">
        <v>0.15001</v>
      </c>
      <c r="AJ96" s="95">
        <v>0.10378</v>
      </c>
      <c r="AK96" s="95">
        <v>0.13045000000000001</v>
      </c>
      <c r="AL96" s="95">
        <v>0.14025000000000001</v>
      </c>
      <c r="AM96" s="97">
        <v>0.138597</v>
      </c>
      <c r="AN96" s="95">
        <v>8.1501000000000004E-2</v>
      </c>
      <c r="AO96" s="95">
        <v>0.121116</v>
      </c>
      <c r="AP96" s="101">
        <v>6.3807000000000003E-2</v>
      </c>
      <c r="AQ96" s="101">
        <v>7.0897000000000002E-2</v>
      </c>
      <c r="AR96" s="101">
        <v>0.11783</v>
      </c>
      <c r="AS96" s="101">
        <v>0.106047</v>
      </c>
      <c r="AT96" s="101">
        <v>6.0978999999999998E-2</v>
      </c>
      <c r="AU96" s="101">
        <v>8.9612999999999998E-2</v>
      </c>
      <c r="AV96" s="95">
        <v>6.9400900000000001E-2</v>
      </c>
      <c r="AW96" s="95">
        <v>0.15940199999999999</v>
      </c>
      <c r="AX96" s="95">
        <v>0.14966309999999999</v>
      </c>
      <c r="AY96" s="95">
        <v>0.115132</v>
      </c>
      <c r="AZ96" s="101">
        <v>6.2764E-2</v>
      </c>
      <c r="BA96" s="101" t="s">
        <v>89</v>
      </c>
      <c r="BB96" s="95"/>
      <c r="BC96" s="95">
        <v>0.25720999999999999</v>
      </c>
      <c r="BD96" s="95"/>
      <c r="BE96" s="95"/>
      <c r="BF96" s="95"/>
      <c r="BG96" s="101"/>
      <c r="BH96" s="95">
        <v>0.105819</v>
      </c>
      <c r="BI96" s="101">
        <v>0.17416999999999999</v>
      </c>
      <c r="BJ96" s="95">
        <v>6.9516999999999995E-2</v>
      </c>
      <c r="BK96" s="95">
        <v>9.9779000000000007E-2</v>
      </c>
      <c r="BL96" s="95">
        <v>0.31170700000000001</v>
      </c>
      <c r="BM96" s="95">
        <v>0.23765700000000001</v>
      </c>
      <c r="BN96" s="95">
        <v>0.25778099999999998</v>
      </c>
      <c r="BO96" s="101">
        <v>8.8517999999999999E-2</v>
      </c>
      <c r="BP96" s="101">
        <v>0.13217400000000001</v>
      </c>
      <c r="BQ96" s="101">
        <v>0.112816</v>
      </c>
      <c r="BR96" s="101">
        <v>6.5569000000000002E-2</v>
      </c>
      <c r="BS96" s="101">
        <v>9.6357999999999999E-2</v>
      </c>
      <c r="BT96" s="95"/>
      <c r="BU96" s="95">
        <v>0.15001</v>
      </c>
      <c r="BV96" s="97">
        <v>0.21224000000000001</v>
      </c>
      <c r="BW96" s="97">
        <v>0.14937994332386884</v>
      </c>
      <c r="BX96" s="97">
        <v>0.17799999999999999</v>
      </c>
      <c r="BY96" s="97">
        <v>0.21629999999999999</v>
      </c>
      <c r="BZ96" s="96"/>
      <c r="CA96" s="97"/>
      <c r="CB96" s="97">
        <v>9.3794000000000002E-2</v>
      </c>
      <c r="CC96" s="97">
        <v>0.13492299999999999</v>
      </c>
      <c r="CD96" s="97">
        <v>0.21099999999999999</v>
      </c>
      <c r="CE96" s="97"/>
      <c r="CF96" s="97">
        <v>0.11890000000000001</v>
      </c>
      <c r="CG96" s="96"/>
      <c r="CH96" s="96"/>
      <c r="CI96" s="95">
        <v>0.115859</v>
      </c>
      <c r="CJ96" s="95" t="s">
        <v>206</v>
      </c>
      <c r="CK96" s="101">
        <v>6.5379999999999994E-2</v>
      </c>
      <c r="CL96" s="96">
        <v>0.16200000000000001</v>
      </c>
      <c r="CM96" s="101"/>
      <c r="CN96" s="101"/>
      <c r="CO96" s="95"/>
      <c r="CP96" s="95"/>
      <c r="CQ96" s="101"/>
      <c r="CR96" s="95"/>
      <c r="CS96" s="95"/>
      <c r="CT96" s="95"/>
      <c r="CU96" s="95"/>
      <c r="CV96" s="95"/>
      <c r="CW96" s="95"/>
      <c r="CX96" s="95">
        <v>1</v>
      </c>
      <c r="CY96" s="103"/>
      <c r="CZ96" s="103"/>
      <c r="DA96" s="103"/>
      <c r="DB96" s="103"/>
      <c r="DC96" s="103"/>
      <c r="DD96" s="103"/>
    </row>
    <row r="97" spans="1:108">
      <c r="A97" s="54">
        <v>85</v>
      </c>
      <c r="B97" s="95" t="s">
        <v>206</v>
      </c>
      <c r="C97" s="95">
        <v>0.23555000000000001</v>
      </c>
      <c r="D97" s="96">
        <v>5.7912999999999999E-2</v>
      </c>
      <c r="E97" s="96">
        <v>7.3275000000000007E-2</v>
      </c>
      <c r="F97" s="95">
        <v>6.3907000000000005E-2</v>
      </c>
      <c r="G97" s="95">
        <v>8.1325999999999996E-2</v>
      </c>
      <c r="H97" s="95">
        <v>0.10476000000000001</v>
      </c>
      <c r="I97" s="95">
        <v>0.13417799999999999</v>
      </c>
      <c r="J97" s="95">
        <v>0.11798699999999999</v>
      </c>
      <c r="K97" s="95">
        <v>0.11497700000000001</v>
      </c>
      <c r="L97" s="95">
        <v>0.10169</v>
      </c>
      <c r="M97" s="95">
        <v>7.2368000000000002E-2</v>
      </c>
      <c r="N97" s="95">
        <v>6.5518000000000007E-2</v>
      </c>
      <c r="O97" s="95">
        <v>0.101261</v>
      </c>
      <c r="P97" s="95">
        <v>9.0986999999999998E-2</v>
      </c>
      <c r="Q97" s="97">
        <v>4.7489999999999997E-2</v>
      </c>
      <c r="R97" s="97">
        <v>8.0240000000000006E-2</v>
      </c>
      <c r="S97" s="97">
        <v>4.0419999999999998E-2</v>
      </c>
      <c r="T97" s="97">
        <v>6.1870000000000001E-2</v>
      </c>
      <c r="U97" s="98">
        <v>5.5939599999999999E-2</v>
      </c>
      <c r="V97" s="99">
        <v>7.7391699999999994E-2</v>
      </c>
      <c r="W97" s="98">
        <v>4.2888799999999998E-2</v>
      </c>
      <c r="X97" s="99">
        <v>6.6508999999999999E-2</v>
      </c>
      <c r="Y97" s="100">
        <v>5.7514919900000003E-2</v>
      </c>
      <c r="Z97" s="100">
        <v>8.49002274E-2</v>
      </c>
      <c r="AA97" s="100">
        <v>4.3451208800000002E-2</v>
      </c>
      <c r="AB97" s="100">
        <v>7.0028391400000001E-2</v>
      </c>
      <c r="AC97" s="95">
        <v>0.16919999999999999</v>
      </c>
      <c r="AD97" s="95">
        <v>0.19413</v>
      </c>
      <c r="AE97" s="95">
        <v>0.16114000000000001</v>
      </c>
      <c r="AF97" s="95">
        <v>0.1339226</v>
      </c>
      <c r="AG97" s="95">
        <v>0.12917000000000001</v>
      </c>
      <c r="AH97" s="95">
        <v>0.1664679</v>
      </c>
      <c r="AI97" s="95">
        <v>0.16114000000000001</v>
      </c>
      <c r="AJ97" s="95">
        <v>0.11232</v>
      </c>
      <c r="AK97" s="95">
        <v>0.14011999999999999</v>
      </c>
      <c r="AL97" s="95">
        <v>0.15294999999999997</v>
      </c>
      <c r="AM97" s="97">
        <v>0.14827599999999999</v>
      </c>
      <c r="AN97" s="95">
        <v>8.9178999999999994E-2</v>
      </c>
      <c r="AO97" s="95">
        <v>0.130102</v>
      </c>
      <c r="AP97" s="101">
        <v>6.9917999999999994E-2</v>
      </c>
      <c r="AQ97" s="101">
        <v>7.7687000000000006E-2</v>
      </c>
      <c r="AR97" s="101">
        <v>0.12759499999999999</v>
      </c>
      <c r="AS97" s="101">
        <v>0.11483599999999999</v>
      </c>
      <c r="AT97" s="101">
        <v>6.7738000000000007E-2</v>
      </c>
      <c r="AU97" s="101">
        <v>9.7239999999999993E-2</v>
      </c>
      <c r="AV97" s="95">
        <v>7.5517200000000007E-2</v>
      </c>
      <c r="AW97" s="95">
        <v>0.17377500000000001</v>
      </c>
      <c r="AX97" s="95">
        <v>0.16216659999999999</v>
      </c>
      <c r="AY97" s="95">
        <v>0.123739</v>
      </c>
      <c r="AZ97" s="101">
        <v>6.6473000000000004E-2</v>
      </c>
      <c r="BA97" s="101" t="s">
        <v>90</v>
      </c>
      <c r="BB97" s="95"/>
      <c r="BC97" s="95">
        <v>0.27977999999999997</v>
      </c>
      <c r="BD97" s="95"/>
      <c r="BE97" s="95"/>
      <c r="BF97" s="95"/>
      <c r="BG97" s="101"/>
      <c r="BH97" s="95">
        <v>0.113841</v>
      </c>
      <c r="BI97" s="101">
        <v>0.18939</v>
      </c>
      <c r="BJ97" s="95">
        <v>7.7446000000000001E-2</v>
      </c>
      <c r="BK97" s="95">
        <v>0.11075699999999999</v>
      </c>
      <c r="BL97" s="95">
        <v>0.33854899999999999</v>
      </c>
      <c r="BM97" s="95">
        <v>0.26062000000000002</v>
      </c>
      <c r="BN97" s="95">
        <v>0.28032200000000002</v>
      </c>
      <c r="BO97" s="101">
        <v>9.6217999999999998E-2</v>
      </c>
      <c r="BP97" s="101">
        <v>0.143179</v>
      </c>
      <c r="BQ97" s="101">
        <v>0.12207899999999999</v>
      </c>
      <c r="BR97" s="101">
        <v>7.2835999999999998E-2</v>
      </c>
      <c r="BS97" s="101">
        <v>0.104559</v>
      </c>
      <c r="BT97" s="95"/>
      <c r="BU97" s="95">
        <v>0.16114000000000001</v>
      </c>
      <c r="BV97" s="97">
        <v>0.22314999999999999</v>
      </c>
      <c r="BW97" s="97">
        <v>0.15744368871875258</v>
      </c>
      <c r="BX97" s="97">
        <v>0.19900000000000001</v>
      </c>
      <c r="BY97" s="97">
        <v>0.23139999999999999</v>
      </c>
      <c r="BZ97" s="96"/>
      <c r="CA97" s="97"/>
      <c r="CB97" s="97">
        <v>0.100203</v>
      </c>
      <c r="CC97" s="97">
        <v>0.14160300000000001</v>
      </c>
      <c r="CD97" s="97">
        <v>0.23599999999999999</v>
      </c>
      <c r="CE97" s="97"/>
      <c r="CF97" s="97">
        <v>0.12523999999999999</v>
      </c>
      <c r="CG97" s="96"/>
      <c r="CH97" s="96"/>
      <c r="CI97" s="95">
        <v>0.13180500000000001</v>
      </c>
      <c r="CJ97" s="95" t="s">
        <v>206</v>
      </c>
      <c r="CK97" s="101">
        <v>6.8470000000000003E-2</v>
      </c>
      <c r="CL97" s="96">
        <v>0.186</v>
      </c>
      <c r="CM97" s="101"/>
      <c r="CN97" s="101"/>
      <c r="CO97" s="95"/>
      <c r="CP97" s="95"/>
      <c r="CQ97" s="101"/>
      <c r="CR97" s="95"/>
      <c r="CS97" s="95"/>
      <c r="CT97" s="95"/>
      <c r="CU97" s="95"/>
      <c r="CV97" s="95"/>
      <c r="CW97" s="95"/>
      <c r="CX97" s="95">
        <v>1</v>
      </c>
      <c r="CY97" s="103"/>
      <c r="CZ97" s="103"/>
      <c r="DA97" s="103"/>
      <c r="DB97" s="103"/>
      <c r="DC97" s="103"/>
      <c r="DD97" s="103"/>
    </row>
    <row r="98" spans="1:108">
      <c r="A98" s="54">
        <v>86</v>
      </c>
      <c r="B98" s="95" t="s">
        <v>206</v>
      </c>
      <c r="C98" s="95">
        <v>0.26568000000000003</v>
      </c>
      <c r="D98" s="96">
        <v>6.5118999999999996E-2</v>
      </c>
      <c r="E98" s="96">
        <v>8.0075999999999994E-2</v>
      </c>
      <c r="F98" s="95">
        <v>7.1815000000000004E-2</v>
      </c>
      <c r="G98" s="95">
        <v>8.8862999999999998E-2</v>
      </c>
      <c r="H98" s="95">
        <v>0.116409</v>
      </c>
      <c r="I98" s="95">
        <v>0.14670900000000001</v>
      </c>
      <c r="J98" s="95">
        <v>0.12684300000000001</v>
      </c>
      <c r="K98" s="95">
        <v>0.12437999999999999</v>
      </c>
      <c r="L98" s="95">
        <v>0.11165</v>
      </c>
      <c r="M98" s="95">
        <v>8.1137000000000001E-2</v>
      </c>
      <c r="N98" s="95">
        <v>7.3493000000000003E-2</v>
      </c>
      <c r="O98" s="95">
        <v>0.11042399999999999</v>
      </c>
      <c r="P98" s="95">
        <v>9.9122000000000002E-2</v>
      </c>
      <c r="Q98" s="97">
        <v>5.4129999999999998E-2</v>
      </c>
      <c r="R98" s="97">
        <v>8.7809999999999999E-2</v>
      </c>
      <c r="S98" s="97">
        <v>4.582E-2</v>
      </c>
      <c r="T98" s="97">
        <v>6.7820000000000005E-2</v>
      </c>
      <c r="U98" s="98">
        <v>6.2759099999999998E-2</v>
      </c>
      <c r="V98" s="99">
        <v>8.4793499999999994E-2</v>
      </c>
      <c r="W98" s="98">
        <v>4.9017499999999999E-2</v>
      </c>
      <c r="X98" s="99">
        <v>7.4418700000000004E-2</v>
      </c>
      <c r="Y98" s="100">
        <v>6.3181791000000001E-2</v>
      </c>
      <c r="Z98" s="100">
        <v>9.2858746800000003E-2</v>
      </c>
      <c r="AA98" s="100">
        <v>4.79447806E-2</v>
      </c>
      <c r="AB98" s="100">
        <v>7.7088210800000001E-2</v>
      </c>
      <c r="AC98" s="95">
        <v>0.18146000000000001</v>
      </c>
      <c r="AD98" s="95">
        <v>0.20937</v>
      </c>
      <c r="AE98" s="95">
        <v>0.17282</v>
      </c>
      <c r="AF98" s="95">
        <v>0.14429729999999999</v>
      </c>
      <c r="AG98" s="95">
        <v>0.13938</v>
      </c>
      <c r="AH98" s="95">
        <v>0.1783921</v>
      </c>
      <c r="AI98" s="95">
        <v>0.17282</v>
      </c>
      <c r="AJ98" s="95">
        <v>0.1212</v>
      </c>
      <c r="AK98" s="95">
        <v>0.15026999999999999</v>
      </c>
      <c r="AL98" s="95">
        <v>0.16609000000000002</v>
      </c>
      <c r="AM98" s="97">
        <v>0.158359</v>
      </c>
      <c r="AN98" s="95">
        <v>9.7467999999999999E-2</v>
      </c>
      <c r="AO98" s="95">
        <v>0.13931499999999999</v>
      </c>
      <c r="AP98" s="101">
        <v>7.6569999999999999E-2</v>
      </c>
      <c r="AQ98" s="101">
        <v>8.5078000000000001E-2</v>
      </c>
      <c r="AR98" s="101">
        <v>0.13796700000000001</v>
      </c>
      <c r="AS98" s="101">
        <v>0.12417</v>
      </c>
      <c r="AT98" s="101">
        <v>7.5346999999999997E-2</v>
      </c>
      <c r="AU98" s="101">
        <v>0.105792</v>
      </c>
      <c r="AV98" s="95">
        <v>8.1949499999999995E-2</v>
      </c>
      <c r="AW98" s="95">
        <v>0.189278</v>
      </c>
      <c r="AX98" s="95">
        <v>0.17539669999999999</v>
      </c>
      <c r="AY98" s="95">
        <v>0.13269499999999998</v>
      </c>
      <c r="AZ98" s="101">
        <v>7.0175000000000001E-2</v>
      </c>
      <c r="BA98" s="101" t="s">
        <v>91</v>
      </c>
      <c r="BB98" s="95"/>
      <c r="BC98" s="95">
        <v>0.30249999999999999</v>
      </c>
      <c r="BD98" s="95"/>
      <c r="BE98" s="95"/>
      <c r="BF98" s="95"/>
      <c r="BG98" s="101"/>
      <c r="BH98" s="95">
        <v>0.122415</v>
      </c>
      <c r="BI98" s="101">
        <v>0.20580999999999999</v>
      </c>
      <c r="BJ98" s="95">
        <v>8.6375999999999994E-2</v>
      </c>
      <c r="BK98" s="95">
        <v>0.122797</v>
      </c>
      <c r="BL98" s="95">
        <v>0.36721700000000002</v>
      </c>
      <c r="BM98" s="95">
        <v>0.301064</v>
      </c>
      <c r="BN98" s="95">
        <v>0.30449700000000002</v>
      </c>
      <c r="BO98" s="101">
        <v>0.10431</v>
      </c>
      <c r="BP98" s="101">
        <v>0.15514700000000001</v>
      </c>
      <c r="BQ98" s="101">
        <v>0.13217400000000001</v>
      </c>
      <c r="BR98" s="101">
        <v>8.1018000000000007E-2</v>
      </c>
      <c r="BS98" s="101">
        <v>0.113755</v>
      </c>
      <c r="BT98" s="95"/>
      <c r="BU98" s="95">
        <v>0.17282</v>
      </c>
      <c r="BV98" s="97">
        <v>0.22913</v>
      </c>
      <c r="BW98" s="97">
        <v>0.16603065407425277</v>
      </c>
      <c r="BX98" s="97">
        <v>0.224</v>
      </c>
      <c r="BY98" s="97">
        <v>0.24590000000000001</v>
      </c>
      <c r="BZ98" s="96"/>
      <c r="CA98" s="97"/>
      <c r="CB98" s="97">
        <v>0.107099</v>
      </c>
      <c r="CC98" s="97">
        <v>0.14837400000000001</v>
      </c>
      <c r="CD98" s="97">
        <v>0.26600000000000001</v>
      </c>
      <c r="CE98" s="97"/>
      <c r="CF98" s="97">
        <v>0.13191</v>
      </c>
      <c r="CG98" s="96"/>
      <c r="CH98" s="96"/>
      <c r="CI98" s="95">
        <v>0.15009</v>
      </c>
      <c r="CJ98" s="95" t="s">
        <v>206</v>
      </c>
      <c r="CK98" s="101">
        <v>7.1650000000000005E-2</v>
      </c>
      <c r="CL98" s="96">
        <v>0.217</v>
      </c>
      <c r="CM98" s="101"/>
      <c r="CN98" s="101"/>
      <c r="CO98" s="95"/>
      <c r="CP98" s="95"/>
      <c r="CQ98" s="101"/>
      <c r="CR98" s="95"/>
      <c r="CS98" s="95"/>
      <c r="CT98" s="95"/>
      <c r="CU98" s="95"/>
      <c r="CV98" s="95"/>
      <c r="CW98" s="95"/>
      <c r="CX98" s="95">
        <v>1</v>
      </c>
      <c r="CY98" s="103"/>
      <c r="CZ98" s="103"/>
      <c r="DA98" s="103"/>
      <c r="DB98" s="103"/>
      <c r="DC98" s="103"/>
      <c r="DD98" s="103"/>
    </row>
    <row r="99" spans="1:108">
      <c r="A99" s="54">
        <v>87</v>
      </c>
      <c r="B99" s="95" t="s">
        <v>206</v>
      </c>
      <c r="C99" s="95">
        <v>0.30301999999999996</v>
      </c>
      <c r="D99" s="96">
        <v>7.3136000000000007E-2</v>
      </c>
      <c r="E99" s="96">
        <v>8.7370000000000003E-2</v>
      </c>
      <c r="F99" s="95">
        <v>8.0682000000000004E-2</v>
      </c>
      <c r="G99" s="95">
        <v>9.6958000000000003E-2</v>
      </c>
      <c r="H99" s="95">
        <v>0.12927</v>
      </c>
      <c r="I99" s="95">
        <v>0.160333</v>
      </c>
      <c r="J99" s="95">
        <v>0.13630699999999998</v>
      </c>
      <c r="K99" s="95">
        <v>0.134466</v>
      </c>
      <c r="L99" s="95">
        <v>0.12305000000000001</v>
      </c>
      <c r="M99" s="95">
        <v>9.0907000000000002E-2</v>
      </c>
      <c r="N99" s="95">
        <v>8.2318000000000002E-2</v>
      </c>
      <c r="O99" s="95">
        <v>0.119894</v>
      </c>
      <c r="P99" s="95">
        <v>0.10757700000000001</v>
      </c>
      <c r="Q99" s="97">
        <v>6.1699999999999998E-2</v>
      </c>
      <c r="R99" s="97">
        <v>9.6089999999999995E-2</v>
      </c>
      <c r="S99" s="97">
        <v>5.219E-2</v>
      </c>
      <c r="T99" s="97">
        <v>7.4340000000000003E-2</v>
      </c>
      <c r="U99" s="98">
        <v>6.9943500000000006E-2</v>
      </c>
      <c r="V99" s="99">
        <v>9.4321600000000005E-2</v>
      </c>
      <c r="W99" s="98">
        <v>5.60458E-2</v>
      </c>
      <c r="X99" s="99">
        <v>8.3959900000000004E-2</v>
      </c>
      <c r="Y99" s="100">
        <v>6.9415458099999994E-2</v>
      </c>
      <c r="Z99" s="100">
        <v>0.101542411</v>
      </c>
      <c r="AA99" s="100">
        <v>5.2919508099999998E-2</v>
      </c>
      <c r="AB99" s="100">
        <v>8.4870071699999994E-2</v>
      </c>
      <c r="AC99" s="95">
        <v>0.19439000000000001</v>
      </c>
      <c r="AD99" s="95">
        <v>0.22563</v>
      </c>
      <c r="AE99" s="95">
        <v>0.18512999999999999</v>
      </c>
      <c r="AF99" s="95">
        <v>0.15512409999999999</v>
      </c>
      <c r="AG99" s="95">
        <v>0.15001</v>
      </c>
      <c r="AH99" s="95">
        <v>0.19102050000000001</v>
      </c>
      <c r="AI99" s="95">
        <v>0.18512999999999999</v>
      </c>
      <c r="AJ99" s="95">
        <v>0.13045000000000001</v>
      </c>
      <c r="AK99" s="95">
        <v>0.16098000000000001</v>
      </c>
      <c r="AL99" s="95">
        <v>0.17955000000000002</v>
      </c>
      <c r="AM99" s="97">
        <v>0.168937</v>
      </c>
      <c r="AN99" s="95">
        <v>0.106452</v>
      </c>
      <c r="AO99" s="95">
        <v>0.14871400000000001</v>
      </c>
      <c r="AP99" s="101">
        <v>8.387E-2</v>
      </c>
      <c r="AQ99" s="101">
        <v>9.3188999999999994E-2</v>
      </c>
      <c r="AR99" s="101">
        <v>0.14874399999999999</v>
      </c>
      <c r="AS99" s="101">
        <v>0.13386999999999999</v>
      </c>
      <c r="AT99" s="101">
        <v>8.4023E-2</v>
      </c>
      <c r="AU99" s="101">
        <v>0.115671</v>
      </c>
      <c r="AV99" s="95">
        <v>8.8702500000000004E-2</v>
      </c>
      <c r="AW99" s="95">
        <v>0.20596999999999999</v>
      </c>
      <c r="AX99" s="95">
        <v>0.18934290000000001</v>
      </c>
      <c r="AY99" s="95">
        <v>0.14199999999999999</v>
      </c>
      <c r="AZ99" s="101">
        <v>7.3891999999999999E-2</v>
      </c>
      <c r="BA99" s="101" t="s">
        <v>92</v>
      </c>
      <c r="BB99" s="95"/>
      <c r="BC99" s="95">
        <v>0.32761000000000001</v>
      </c>
      <c r="BD99" s="95"/>
      <c r="BE99" s="95"/>
      <c r="BF99" s="95"/>
      <c r="BG99" s="101"/>
      <c r="BH99" s="95">
        <v>0.131575</v>
      </c>
      <c r="BI99" s="101">
        <v>0.22348000000000001</v>
      </c>
      <c r="BJ99" s="95">
        <v>9.6337000000000006E-2</v>
      </c>
      <c r="BK99" s="95">
        <v>0.136043</v>
      </c>
      <c r="BL99" s="95">
        <v>0.39774599999999999</v>
      </c>
      <c r="BM99" s="95">
        <v>0.345335</v>
      </c>
      <c r="BN99" s="95">
        <v>0.33036399999999999</v>
      </c>
      <c r="BO99" s="101">
        <v>0.112816</v>
      </c>
      <c r="BP99" s="101">
        <v>0.168208</v>
      </c>
      <c r="BQ99" s="101">
        <v>0.143179</v>
      </c>
      <c r="BR99" s="101">
        <v>9.0347999999999998E-2</v>
      </c>
      <c r="BS99" s="101">
        <v>0.124377</v>
      </c>
      <c r="BT99" s="95"/>
      <c r="BU99" s="95">
        <v>0.18512999999999999</v>
      </c>
      <c r="BV99" s="97">
        <v>0.23607</v>
      </c>
      <c r="BW99" s="97">
        <v>0.17516153396823142</v>
      </c>
      <c r="BX99" s="97">
        <v>0.251</v>
      </c>
      <c r="BY99" s="97">
        <v>0.2601</v>
      </c>
      <c r="BZ99" s="96"/>
      <c r="CA99" s="97"/>
      <c r="CB99" s="97">
        <v>0.114512</v>
      </c>
      <c r="CC99" s="97">
        <v>0.15523500000000001</v>
      </c>
      <c r="CD99" s="97">
        <v>0.30299999999999999</v>
      </c>
      <c r="CE99" s="97"/>
      <c r="CF99" s="97">
        <v>0.13893</v>
      </c>
      <c r="CG99" s="96"/>
      <c r="CH99" s="96"/>
      <c r="CI99" s="95">
        <v>0.17083999999999999</v>
      </c>
      <c r="CJ99" s="95" t="s">
        <v>206</v>
      </c>
      <c r="CK99" s="101">
        <v>7.492E-2</v>
      </c>
      <c r="CL99" s="96">
        <v>0.255</v>
      </c>
      <c r="CM99" s="101"/>
      <c r="CN99" s="101"/>
      <c r="CO99" s="95"/>
      <c r="CP99" s="95"/>
      <c r="CQ99" s="101"/>
      <c r="CR99" s="95"/>
      <c r="CS99" s="95"/>
      <c r="CT99" s="95"/>
      <c r="CU99" s="95"/>
      <c r="CV99" s="95"/>
      <c r="CW99" s="95"/>
      <c r="CX99" s="95">
        <v>1</v>
      </c>
      <c r="CY99" s="103"/>
      <c r="CZ99" s="103"/>
      <c r="DA99" s="103"/>
      <c r="DB99" s="103"/>
      <c r="DC99" s="103"/>
      <c r="DD99" s="103"/>
    </row>
    <row r="100" spans="1:108">
      <c r="A100" s="54">
        <v>88</v>
      </c>
      <c r="B100" s="95" t="s">
        <v>206</v>
      </c>
      <c r="C100" s="95">
        <v>0.34669</v>
      </c>
      <c r="D100" s="96">
        <v>8.1990999999999994E-2</v>
      </c>
      <c r="E100" s="96">
        <v>9.5169000000000004E-2</v>
      </c>
      <c r="F100" s="95">
        <v>9.0556999999999999E-2</v>
      </c>
      <c r="G100" s="95">
        <v>0.105631</v>
      </c>
      <c r="H100" s="95">
        <v>0.14344499999999999</v>
      </c>
      <c r="I100" s="95">
        <v>0.175124</v>
      </c>
      <c r="J100" s="95">
        <v>0.146397</v>
      </c>
      <c r="K100" s="95">
        <v>0.14527400000000001</v>
      </c>
      <c r="L100" s="95">
        <v>0.13611999999999999</v>
      </c>
      <c r="M100" s="95">
        <v>0.10172100000000001</v>
      </c>
      <c r="N100" s="95">
        <v>9.2017000000000002E-2</v>
      </c>
      <c r="O100" s="95">
        <v>0.129609</v>
      </c>
      <c r="P100" s="95">
        <v>0.116316</v>
      </c>
      <c r="Q100" s="97">
        <v>7.0400000000000004E-2</v>
      </c>
      <c r="R100" s="97">
        <v>0.10517</v>
      </c>
      <c r="S100" s="97">
        <v>5.9279999999999999E-2</v>
      </c>
      <c r="T100" s="97">
        <v>8.1500000000000003E-2</v>
      </c>
      <c r="U100" s="98">
        <v>7.7021599999999996E-2</v>
      </c>
      <c r="V100" s="99">
        <v>0.101914</v>
      </c>
      <c r="W100" s="98">
        <v>6.32215E-2</v>
      </c>
      <c r="X100" s="99">
        <v>9.3438999999999994E-2</v>
      </c>
      <c r="Y100" s="100">
        <v>7.62773546E-2</v>
      </c>
      <c r="Z100" s="100">
        <v>0.1110108185</v>
      </c>
      <c r="AA100" s="100">
        <v>5.8434308900000002E-2</v>
      </c>
      <c r="AB100" s="100">
        <v>9.3445725899999998E-2</v>
      </c>
      <c r="AC100" s="95">
        <v>0.20816000000000001</v>
      </c>
      <c r="AD100" s="95">
        <v>0.24299999999999999</v>
      </c>
      <c r="AE100" s="95">
        <v>0.19825000000000001</v>
      </c>
      <c r="AF100" s="95">
        <v>0.1664679</v>
      </c>
      <c r="AG100" s="95">
        <v>0.16114000000000001</v>
      </c>
      <c r="AH100" s="95">
        <v>0.20457320000000001</v>
      </c>
      <c r="AI100" s="95">
        <v>0.19825000000000001</v>
      </c>
      <c r="AJ100" s="95">
        <v>0.14011999999999999</v>
      </c>
      <c r="AK100" s="95">
        <v>0.17238999999999999</v>
      </c>
      <c r="AL100" s="95">
        <v>0.19327</v>
      </c>
      <c r="AM100" s="97">
        <v>0.18012900000000001</v>
      </c>
      <c r="AN100" s="95">
        <v>0.116226</v>
      </c>
      <c r="AO100" s="95">
        <v>0.15848599999999999</v>
      </c>
      <c r="AP100" s="101">
        <v>9.1935000000000003E-2</v>
      </c>
      <c r="AQ100" s="101">
        <v>0.10215</v>
      </c>
      <c r="AR100" s="101">
        <v>0.160081</v>
      </c>
      <c r="AS100" s="101">
        <v>0.14407300000000001</v>
      </c>
      <c r="AT100" s="101">
        <v>9.3820000000000001E-2</v>
      </c>
      <c r="AU100" s="101">
        <v>0.12698000000000001</v>
      </c>
      <c r="AV100" s="95">
        <v>9.5781000000000005E-2</v>
      </c>
      <c r="AW100" s="95">
        <v>0.22390599999999999</v>
      </c>
      <c r="AX100" s="95">
        <v>0.20398579999999999</v>
      </c>
      <c r="AY100" s="95">
        <v>0.15165600000000001</v>
      </c>
      <c r="AZ100" s="101">
        <v>7.7790999999999999E-2</v>
      </c>
      <c r="BA100" s="101" t="s">
        <v>93</v>
      </c>
      <c r="BB100" s="95"/>
      <c r="BC100" s="95">
        <v>0.35382999999999998</v>
      </c>
      <c r="BD100" s="95"/>
      <c r="BE100" s="95"/>
      <c r="BF100" s="95"/>
      <c r="BG100" s="101"/>
      <c r="BH100" s="95">
        <v>0.14135200000000001</v>
      </c>
      <c r="BI100" s="101">
        <v>0.24248</v>
      </c>
      <c r="BJ100" s="95">
        <v>0.107303</v>
      </c>
      <c r="BK100" s="95">
        <v>0.15059</v>
      </c>
      <c r="BL100" s="95">
        <v>0.43015999999999999</v>
      </c>
      <c r="BM100" s="95">
        <v>0.393903</v>
      </c>
      <c r="BN100" s="95">
        <v>0.35797200000000001</v>
      </c>
      <c r="BO100" s="101">
        <v>0.12207899999999999</v>
      </c>
      <c r="BP100" s="101">
        <v>0.18246100000000001</v>
      </c>
      <c r="BQ100" s="101">
        <v>0.15514700000000001</v>
      </c>
      <c r="BR100" s="101">
        <v>0.100882</v>
      </c>
      <c r="BS100" s="101">
        <v>0.13653699999999999</v>
      </c>
      <c r="BT100" s="95"/>
      <c r="BU100" s="95">
        <v>0.19825000000000001</v>
      </c>
      <c r="BV100" s="97">
        <v>0.24451000000000001</v>
      </c>
      <c r="BW100" s="97">
        <v>0.1848569502767673</v>
      </c>
      <c r="BX100" s="97">
        <v>0.28199999999999997</v>
      </c>
      <c r="BY100" s="97">
        <v>0.2772</v>
      </c>
      <c r="BZ100" s="96"/>
      <c r="CA100" s="97"/>
      <c r="CB100" s="97">
        <v>0.122464</v>
      </c>
      <c r="CC100" s="97">
        <v>0.162186</v>
      </c>
      <c r="CD100" s="97">
        <v>0.34699999999999998</v>
      </c>
      <c r="CE100" s="97"/>
      <c r="CF100" s="97">
        <v>0.14630000000000001</v>
      </c>
      <c r="CG100" s="96"/>
      <c r="CH100" s="96"/>
      <c r="CI100" s="95">
        <v>0.194465</v>
      </c>
      <c r="CJ100" s="95" t="s">
        <v>206</v>
      </c>
      <c r="CK100" s="101">
        <v>7.8329999999999997E-2</v>
      </c>
      <c r="CL100" s="96">
        <v>0.3</v>
      </c>
      <c r="CM100" s="101"/>
      <c r="CN100" s="101"/>
      <c r="CO100" s="95"/>
      <c r="CP100" s="95"/>
      <c r="CQ100" s="101"/>
      <c r="CR100" s="95"/>
      <c r="CS100" s="95"/>
      <c r="CT100" s="95"/>
      <c r="CU100" s="95"/>
      <c r="CV100" s="95"/>
      <c r="CW100" s="95"/>
      <c r="CX100" s="95">
        <v>1</v>
      </c>
      <c r="CY100" s="103"/>
      <c r="CZ100" s="103"/>
      <c r="DA100" s="103"/>
      <c r="DB100" s="103"/>
      <c r="DC100" s="103"/>
      <c r="DD100" s="103"/>
    </row>
    <row r="101" spans="1:108">
      <c r="A101" s="54">
        <v>89</v>
      </c>
      <c r="B101" s="95" t="s">
        <v>206</v>
      </c>
      <c r="C101" s="95">
        <v>0.39585999999999999</v>
      </c>
      <c r="D101" s="96">
        <v>9.1577000000000006E-2</v>
      </c>
      <c r="E101" s="96">
        <v>0.10345500000000001</v>
      </c>
      <c r="F101" s="95">
        <v>0.10130699999999999</v>
      </c>
      <c r="G101" s="95">
        <v>0.114858</v>
      </c>
      <c r="H101" s="95">
        <v>0.15903999999999999</v>
      </c>
      <c r="I101" s="95">
        <v>0.19115099999999999</v>
      </c>
      <c r="J101" s="95">
        <v>0.15715299999999999</v>
      </c>
      <c r="K101" s="95">
        <v>0.15684100000000001</v>
      </c>
      <c r="L101" s="95">
        <v>0.15107000000000001</v>
      </c>
      <c r="M101" s="95">
        <v>0.113454</v>
      </c>
      <c r="N101" s="95">
        <v>0.102491</v>
      </c>
      <c r="O101" s="95">
        <v>0.13964299999999999</v>
      </c>
      <c r="P101" s="95">
        <v>0.12539400000000001</v>
      </c>
      <c r="Q101" s="97">
        <v>8.0960000000000004E-2</v>
      </c>
      <c r="R101" s="97">
        <v>0.11511</v>
      </c>
      <c r="S101" s="97">
        <v>6.7339999999999997E-2</v>
      </c>
      <c r="T101" s="97">
        <v>8.9349999999999999E-2</v>
      </c>
      <c r="U101" s="98">
        <v>8.5436100000000001E-2</v>
      </c>
      <c r="V101" s="99">
        <v>0.113095</v>
      </c>
      <c r="W101" s="98">
        <v>7.0339499999999999E-2</v>
      </c>
      <c r="X101" s="99">
        <v>0.10496999999999999</v>
      </c>
      <c r="Y101" s="100">
        <v>8.3836707900000002E-2</v>
      </c>
      <c r="Z101" s="100">
        <v>0.1213272006</v>
      </c>
      <c r="AA101" s="100">
        <v>6.4543874099999995E-2</v>
      </c>
      <c r="AB101" s="100">
        <v>0.10290826259999999</v>
      </c>
      <c r="AC101" s="95">
        <v>0.22308</v>
      </c>
      <c r="AD101" s="95">
        <v>0.26144000000000001</v>
      </c>
      <c r="AE101" s="95">
        <v>0.21246000000000001</v>
      </c>
      <c r="AF101" s="95">
        <v>0.1783921</v>
      </c>
      <c r="AG101" s="95">
        <v>0.17282</v>
      </c>
      <c r="AH101" s="95">
        <v>0.21936810000000001</v>
      </c>
      <c r="AI101" s="95">
        <v>0.21246000000000001</v>
      </c>
      <c r="AJ101" s="95">
        <v>0.15026999999999999</v>
      </c>
      <c r="AK101" s="95">
        <v>0.18475</v>
      </c>
      <c r="AL101" s="95">
        <v>0.20729</v>
      </c>
      <c r="AM101" s="97">
        <v>0.19220799999999999</v>
      </c>
      <c r="AN101" s="95">
        <v>0.12689300000000001</v>
      </c>
      <c r="AO101" s="95">
        <v>0.168709</v>
      </c>
      <c r="AP101" s="101">
        <v>0.101354</v>
      </c>
      <c r="AQ101" s="101">
        <v>0.11261599999999999</v>
      </c>
      <c r="AR101" s="101">
        <v>0.172066</v>
      </c>
      <c r="AS101" s="101">
        <v>0.154859</v>
      </c>
      <c r="AT101" s="101">
        <v>0.10459400000000001</v>
      </c>
      <c r="AU101" s="101">
        <v>0.13945199999999999</v>
      </c>
      <c r="AV101" s="95">
        <v>0.1031898</v>
      </c>
      <c r="AW101" s="95">
        <v>0.24313899999999999</v>
      </c>
      <c r="AX101" s="95">
        <v>0.2192962</v>
      </c>
      <c r="AY101" s="95">
        <v>0.161661</v>
      </c>
      <c r="AZ101" s="101">
        <v>8.2059999999999994E-2</v>
      </c>
      <c r="BA101" s="101" t="s">
        <v>94</v>
      </c>
      <c r="BB101" s="95"/>
      <c r="BC101" s="95">
        <v>0.38241000000000003</v>
      </c>
      <c r="BD101" s="95"/>
      <c r="BE101" s="95"/>
      <c r="BF101" s="95"/>
      <c r="BG101" s="101"/>
      <c r="BH101" s="95">
        <v>0.15177499999999999</v>
      </c>
      <c r="BI101" s="101">
        <v>0.26283000000000001</v>
      </c>
      <c r="BJ101" s="95">
        <v>0.119154</v>
      </c>
      <c r="BK101" s="95">
        <v>0.16642000000000001</v>
      </c>
      <c r="BL101" s="95">
        <v>0.46446399999999999</v>
      </c>
      <c r="BM101" s="95">
        <v>0.44764599999999999</v>
      </c>
      <c r="BN101" s="95">
        <v>0.38735900000000001</v>
      </c>
      <c r="BO101" s="101">
        <v>0.13217400000000001</v>
      </c>
      <c r="BP101" s="101">
        <v>0.19803000000000001</v>
      </c>
      <c r="BQ101" s="101">
        <v>0.168208</v>
      </c>
      <c r="BR101" s="101">
        <v>0.112467</v>
      </c>
      <c r="BS101" s="101">
        <v>0.149949</v>
      </c>
      <c r="BT101" s="95"/>
      <c r="BU101" s="95">
        <v>0.21246000000000001</v>
      </c>
      <c r="BV101" s="97">
        <v>0.25774000000000002</v>
      </c>
      <c r="BW101" s="97">
        <v>0.19513728063638802</v>
      </c>
      <c r="BX101" s="97">
        <v>0.316</v>
      </c>
      <c r="BY101" s="97">
        <v>0.29930000000000001</v>
      </c>
      <c r="BZ101" s="96"/>
      <c r="CA101" s="97"/>
      <c r="CB101" s="97">
        <v>0.13097200000000001</v>
      </c>
      <c r="CC101" s="97">
        <v>0.16923299999999999</v>
      </c>
      <c r="CD101" s="97">
        <v>0.39600000000000002</v>
      </c>
      <c r="CE101" s="97"/>
      <c r="CF101" s="97">
        <v>0.15404000000000001</v>
      </c>
      <c r="CG101" s="96"/>
      <c r="CH101" s="96"/>
      <c r="CI101" s="95">
        <v>0.221363</v>
      </c>
      <c r="CJ101" s="95" t="s">
        <v>206</v>
      </c>
      <c r="CK101" s="101">
        <v>8.2030000000000006E-2</v>
      </c>
      <c r="CL101" s="96">
        <v>0.35830000000000001</v>
      </c>
      <c r="CM101" s="101"/>
      <c r="CN101" s="101"/>
      <c r="CO101" s="95"/>
      <c r="CP101" s="95"/>
      <c r="CQ101" s="101"/>
      <c r="CR101" s="95"/>
      <c r="CS101" s="95"/>
      <c r="CT101" s="95"/>
      <c r="CU101" s="95"/>
      <c r="CV101" s="95"/>
      <c r="CW101" s="95"/>
      <c r="CX101" s="95">
        <v>1</v>
      </c>
      <c r="CY101" s="103"/>
      <c r="CZ101" s="103"/>
      <c r="DA101" s="103"/>
      <c r="DB101" s="103"/>
      <c r="DC101" s="103"/>
      <c r="DD101" s="103"/>
    </row>
    <row r="102" spans="1:108">
      <c r="A102" s="54">
        <v>90</v>
      </c>
      <c r="B102" s="95" t="s">
        <v>206</v>
      </c>
      <c r="C102" s="95">
        <v>0.45455000000000001</v>
      </c>
      <c r="D102" s="96">
        <v>0.101758</v>
      </c>
      <c r="E102" s="96">
        <v>0.112208</v>
      </c>
      <c r="F102" s="95">
        <v>0.112759</v>
      </c>
      <c r="G102" s="95">
        <v>0.124612</v>
      </c>
      <c r="H102" s="95">
        <v>0.17616100000000001</v>
      </c>
      <c r="I102" s="95">
        <v>0.208485</v>
      </c>
      <c r="J102" s="95">
        <v>0.168604</v>
      </c>
      <c r="K102" s="95">
        <v>0.16920199999999999</v>
      </c>
      <c r="L102" s="95">
        <v>0.16803999999999999</v>
      </c>
      <c r="M102" s="95">
        <v>0.12593599999999999</v>
      </c>
      <c r="N102" s="95">
        <v>0.113605</v>
      </c>
      <c r="O102" s="95">
        <v>0.15009900000000001</v>
      </c>
      <c r="P102" s="95">
        <v>0.13488700000000001</v>
      </c>
      <c r="Q102" s="97">
        <v>9.3100000000000002E-2</v>
      </c>
      <c r="R102" s="97">
        <v>0.126</v>
      </c>
      <c r="S102" s="97">
        <v>7.6509999999999995E-2</v>
      </c>
      <c r="T102" s="97">
        <v>9.7960000000000005E-2</v>
      </c>
      <c r="U102" s="98">
        <v>9.5206799999999994E-2</v>
      </c>
      <c r="V102" s="99">
        <v>0.12071079999999999</v>
      </c>
      <c r="W102" s="98">
        <v>7.7693499999999999E-2</v>
      </c>
      <c r="X102" s="99">
        <v>0.11435910000000001</v>
      </c>
      <c r="Y102" s="100">
        <v>9.2162048100000005E-2</v>
      </c>
      <c r="Z102" s="100">
        <v>0.13256794960000001</v>
      </c>
      <c r="AA102" s="100">
        <v>7.1332768199999994E-2</v>
      </c>
      <c r="AB102" s="100">
        <v>0.11335719330000001</v>
      </c>
      <c r="AC102" s="95">
        <v>0.23955000000000001</v>
      </c>
      <c r="AD102" s="95">
        <v>0.28099000000000002</v>
      </c>
      <c r="AE102" s="95">
        <v>0.22814000000000001</v>
      </c>
      <c r="AF102" s="95">
        <v>0.19102050000000001</v>
      </c>
      <c r="AG102" s="95">
        <v>0.18512999999999999</v>
      </c>
      <c r="AH102" s="95">
        <v>0.23582230000000001</v>
      </c>
      <c r="AI102" s="95">
        <v>0.22814000000000001</v>
      </c>
      <c r="AJ102" s="95">
        <v>0.16098000000000001</v>
      </c>
      <c r="AK102" s="95">
        <v>0.19838</v>
      </c>
      <c r="AL102" s="95">
        <v>0.22177000000000002</v>
      </c>
      <c r="AM102" s="97">
        <v>0.20549500000000001</v>
      </c>
      <c r="AN102" s="95">
        <v>0.13857700000000001</v>
      </c>
      <c r="AO102" s="95">
        <v>0.179452</v>
      </c>
      <c r="AP102" s="101">
        <v>0.11175</v>
      </c>
      <c r="AQ102" s="101">
        <v>0.124167</v>
      </c>
      <c r="AR102" s="101">
        <v>0.184785</v>
      </c>
      <c r="AS102" s="101">
        <v>0.16630700000000001</v>
      </c>
      <c r="AT102" s="101">
        <v>0.11626499999999999</v>
      </c>
      <c r="AU102" s="101">
        <v>0.15293100000000001</v>
      </c>
      <c r="AV102" s="95">
        <v>0.11093359999999999</v>
      </c>
      <c r="AW102" s="95">
        <v>0.263714</v>
      </c>
      <c r="AX102" s="95">
        <v>0.235235</v>
      </c>
      <c r="AY102" s="95">
        <v>0.172016</v>
      </c>
      <c r="AZ102" s="101">
        <v>8.6879999999999999E-2</v>
      </c>
      <c r="BA102" s="101" t="s">
        <v>95</v>
      </c>
      <c r="BB102" s="95"/>
      <c r="BC102" s="95">
        <v>0.40988000000000002</v>
      </c>
      <c r="BD102" s="95"/>
      <c r="BE102" s="95"/>
      <c r="BF102" s="95"/>
      <c r="BG102" s="101"/>
      <c r="BH102" s="95">
        <v>0.162879</v>
      </c>
      <c r="BI102" s="101">
        <v>0.28460000000000002</v>
      </c>
      <c r="BJ102" s="95">
        <v>0.13168199999999999</v>
      </c>
      <c r="BK102" s="95">
        <v>0.18340799999999999</v>
      </c>
      <c r="BL102" s="95">
        <v>0.50064500000000001</v>
      </c>
      <c r="BM102" s="95">
        <v>0.50773000000000001</v>
      </c>
      <c r="BN102" s="95">
        <v>0.41855100000000001</v>
      </c>
      <c r="BO102" s="101">
        <v>0.143179</v>
      </c>
      <c r="BP102" s="101">
        <v>0.215035</v>
      </c>
      <c r="BQ102" s="101">
        <v>0.18246100000000001</v>
      </c>
      <c r="BR102" s="101">
        <v>0.12501599999999999</v>
      </c>
      <c r="BS102" s="101">
        <v>0.164442</v>
      </c>
      <c r="BT102" s="95"/>
      <c r="BU102" s="95">
        <v>0.22814000000000001</v>
      </c>
      <c r="BV102" s="97">
        <v>0.32373000000000002</v>
      </c>
      <c r="BW102" s="97">
        <v>0.20602246169809202</v>
      </c>
      <c r="BX102" s="97">
        <v>0.35499999999999998</v>
      </c>
      <c r="BY102" s="97">
        <v>0.32579999999999998</v>
      </c>
      <c r="BZ102" s="96"/>
      <c r="CA102" s="97"/>
      <c r="CB102" s="97">
        <v>0.14004900000000001</v>
      </c>
      <c r="CC102" s="97">
        <v>0.18340799999999999</v>
      </c>
      <c r="CD102" s="97">
        <v>0.45500000000000002</v>
      </c>
      <c r="CE102" s="97"/>
      <c r="CF102" s="97">
        <v>0.16219</v>
      </c>
      <c r="CG102" s="96"/>
      <c r="CH102" s="96"/>
      <c r="CI102" s="95">
        <v>0.25198799999999999</v>
      </c>
      <c r="CJ102" s="95" t="s">
        <v>206</v>
      </c>
      <c r="CK102" s="101">
        <v>8.652E-2</v>
      </c>
      <c r="CL102" s="96">
        <v>0.41670000000000001</v>
      </c>
      <c r="CM102" s="101"/>
      <c r="CN102" s="101"/>
      <c r="CO102" s="95"/>
      <c r="CP102" s="95"/>
      <c r="CQ102" s="101"/>
      <c r="CR102" s="95"/>
      <c r="CS102" s="95"/>
      <c r="CT102" s="95"/>
      <c r="CU102" s="95"/>
      <c r="CV102" s="95"/>
      <c r="CW102" s="95"/>
      <c r="CX102" s="95">
        <v>1</v>
      </c>
      <c r="CY102" s="103"/>
      <c r="CZ102" s="103"/>
      <c r="DA102" s="103"/>
      <c r="DB102" s="103"/>
      <c r="DC102" s="103"/>
      <c r="DD102" s="103"/>
    </row>
    <row r="103" spans="1:108">
      <c r="A103" s="54">
        <v>91</v>
      </c>
      <c r="B103" s="95" t="s">
        <v>206</v>
      </c>
      <c r="C103" s="95">
        <v>0.53247</v>
      </c>
      <c r="D103" s="96">
        <v>0.11239499999999999</v>
      </c>
      <c r="E103" s="96">
        <v>0.121402</v>
      </c>
      <c r="F103" s="95">
        <v>0.124733</v>
      </c>
      <c r="G103" s="95">
        <v>0.13486100000000001</v>
      </c>
      <c r="H103" s="95">
        <v>0.194913</v>
      </c>
      <c r="I103" s="95">
        <v>0.22719200000000001</v>
      </c>
      <c r="J103" s="95">
        <v>0.180783</v>
      </c>
      <c r="K103" s="95">
        <v>0.18238900000000002</v>
      </c>
      <c r="L103" s="95">
        <v>0.18715000000000001</v>
      </c>
      <c r="M103" s="95">
        <v>0.13899700000000001</v>
      </c>
      <c r="N103" s="95">
        <v>0.125227</v>
      </c>
      <c r="O103" s="95">
        <v>0.161082</v>
      </c>
      <c r="P103" s="95">
        <v>0.144873</v>
      </c>
      <c r="Q103" s="97">
        <v>0.10647</v>
      </c>
      <c r="R103" s="97">
        <v>0.13791999999999999</v>
      </c>
      <c r="S103" s="97">
        <v>8.727E-2</v>
      </c>
      <c r="T103" s="97">
        <v>0.10741000000000001</v>
      </c>
      <c r="U103" s="98">
        <v>0.1055215</v>
      </c>
      <c r="V103" s="99">
        <v>0.1284853</v>
      </c>
      <c r="W103" s="98">
        <v>8.5828000000000002E-2</v>
      </c>
      <c r="X103" s="99">
        <v>0.1247292</v>
      </c>
      <c r="Y103" s="100">
        <v>0.10133327659999999</v>
      </c>
      <c r="Z103" s="100">
        <v>0.1448080296</v>
      </c>
      <c r="AA103" s="100">
        <v>7.88765414E-2</v>
      </c>
      <c r="AB103" s="100">
        <v>0.1248876218</v>
      </c>
      <c r="AC103" s="95">
        <v>0.25806000000000001</v>
      </c>
      <c r="AD103" s="95">
        <v>0.30173</v>
      </c>
      <c r="AE103" s="95">
        <v>0.24576999999999999</v>
      </c>
      <c r="AF103" s="95">
        <v>0.20457320000000001</v>
      </c>
      <c r="AG103" s="95">
        <v>0.19825000000000001</v>
      </c>
      <c r="AH103" s="95">
        <v>0.25443749999999998</v>
      </c>
      <c r="AI103" s="95">
        <v>0.24576999999999999</v>
      </c>
      <c r="AJ103" s="95">
        <v>0.17238999999999999</v>
      </c>
      <c r="AK103" s="95">
        <v>0.21371000000000001</v>
      </c>
      <c r="AL103" s="95">
        <v>0.23698</v>
      </c>
      <c r="AM103" s="97">
        <v>0.220333</v>
      </c>
      <c r="AN103" s="95">
        <v>0.15119199999999999</v>
      </c>
      <c r="AO103" s="95">
        <v>0.19048899999999999</v>
      </c>
      <c r="AP103" s="101">
        <v>0.123076</v>
      </c>
      <c r="AQ103" s="101">
        <v>0.13675100000000001</v>
      </c>
      <c r="AR103" s="101">
        <v>0.198016</v>
      </c>
      <c r="AS103" s="101">
        <v>0.17821400000000001</v>
      </c>
      <c r="AT103" s="101">
        <v>0.128751</v>
      </c>
      <c r="AU103" s="101">
        <v>0.16725999999999999</v>
      </c>
      <c r="AV103" s="95">
        <v>0.1190172</v>
      </c>
      <c r="AW103" s="95">
        <v>0.28567399999999998</v>
      </c>
      <c r="AX103" s="95">
        <v>0.25175310000000001</v>
      </c>
      <c r="AY103" s="95">
        <v>0.18272099999999999</v>
      </c>
      <c r="AZ103" s="101">
        <v>9.2416999999999999E-2</v>
      </c>
      <c r="BA103" s="101" t="s">
        <v>96</v>
      </c>
      <c r="BB103" s="95"/>
      <c r="BC103" s="95">
        <v>0.44335000000000002</v>
      </c>
      <c r="BD103" s="95"/>
      <c r="BE103" s="95"/>
      <c r="BF103" s="95"/>
      <c r="BG103" s="101"/>
      <c r="BH103" s="95">
        <v>0.17469399999999999</v>
      </c>
      <c r="BI103" s="101">
        <v>0.30780000000000002</v>
      </c>
      <c r="BJ103" s="95">
        <v>0.14460400000000001</v>
      </c>
      <c r="BK103" s="95">
        <v>0.199769</v>
      </c>
      <c r="BL103" s="95">
        <v>0.53866899999999995</v>
      </c>
      <c r="BM103" s="95">
        <v>0.54306699999999997</v>
      </c>
      <c r="BN103" s="95">
        <v>0.45155699999999999</v>
      </c>
      <c r="BO103" s="101">
        <v>0.15514700000000001</v>
      </c>
      <c r="BP103" s="101">
        <v>0.232983</v>
      </c>
      <c r="BQ103" s="101">
        <v>0.19803000000000001</v>
      </c>
      <c r="BR103" s="101">
        <v>0.13844200000000001</v>
      </c>
      <c r="BS103" s="101">
        <v>0.17984900000000001</v>
      </c>
      <c r="BT103" s="95"/>
      <c r="BU103" s="95">
        <v>0.24576999999999999</v>
      </c>
      <c r="BV103" s="97">
        <v>0.36098999999999998</v>
      </c>
      <c r="BW103" s="97">
        <v>0.21753176531148499</v>
      </c>
      <c r="BX103" s="97">
        <v>0.39800000000000002</v>
      </c>
      <c r="BY103" s="97">
        <v>0.35</v>
      </c>
      <c r="BZ103" s="96"/>
      <c r="CA103" s="97"/>
      <c r="CB103" s="97">
        <v>0.149698</v>
      </c>
      <c r="CC103" s="97">
        <v>0.199769</v>
      </c>
      <c r="CD103" s="97">
        <v>0.53200000000000003</v>
      </c>
      <c r="CE103" s="97"/>
      <c r="CF103" s="97">
        <v>0.17094000000000001</v>
      </c>
      <c r="CG103" s="96"/>
      <c r="CH103" s="96"/>
      <c r="CI103" s="95"/>
      <c r="CJ103" s="95" t="s">
        <v>206</v>
      </c>
      <c r="CK103" s="101">
        <v>9.3420000000000003E-2</v>
      </c>
      <c r="CL103" s="96">
        <v>0.47499999999999998</v>
      </c>
      <c r="CM103" s="101"/>
      <c r="CN103" s="101"/>
      <c r="CO103" s="95"/>
      <c r="CP103" s="95"/>
      <c r="CQ103" s="101"/>
      <c r="CR103" s="95"/>
      <c r="CS103" s="95"/>
      <c r="CT103" s="95"/>
      <c r="CU103" s="95"/>
      <c r="CV103" s="95"/>
      <c r="CW103" s="95"/>
      <c r="CX103" s="95">
        <v>1</v>
      </c>
      <c r="CY103" s="103"/>
      <c r="CZ103" s="103"/>
      <c r="DA103" s="103"/>
      <c r="DB103" s="103"/>
      <c r="DC103" s="103"/>
      <c r="DD103" s="103"/>
    </row>
    <row r="104" spans="1:108">
      <c r="A104" s="54">
        <v>92</v>
      </c>
      <c r="B104" s="95" t="s">
        <v>206</v>
      </c>
      <c r="C104" s="95">
        <v>0.63426000000000005</v>
      </c>
      <c r="D104" s="96">
        <v>0.123349</v>
      </c>
      <c r="E104" s="96">
        <v>0.13101699999999999</v>
      </c>
      <c r="F104" s="95">
        <v>0.13705400000000001</v>
      </c>
      <c r="G104" s="95">
        <v>0.14557500000000001</v>
      </c>
      <c r="H104" s="95">
        <v>0.21539900000000001</v>
      </c>
      <c r="I104" s="95">
        <v>0.247332</v>
      </c>
      <c r="J104" s="95">
        <v>0.19372399999999998</v>
      </c>
      <c r="K104" s="95">
        <v>0.19643100000000002</v>
      </c>
      <c r="L104" s="95">
        <v>0.20846000000000001</v>
      </c>
      <c r="M104" s="95">
        <v>0.15246899999999999</v>
      </c>
      <c r="N104" s="95">
        <v>0.13722200000000001</v>
      </c>
      <c r="O104" s="95">
        <v>0.17269899999999999</v>
      </c>
      <c r="P104" s="95">
        <v>0.15542900000000001</v>
      </c>
      <c r="Q104" s="97">
        <v>0.1211</v>
      </c>
      <c r="R104" s="97">
        <v>0.15098</v>
      </c>
      <c r="S104" s="97">
        <v>9.9059999999999995E-2</v>
      </c>
      <c r="T104" s="97">
        <v>0.11777</v>
      </c>
      <c r="U104" s="98">
        <v>0.1176157</v>
      </c>
      <c r="V104" s="99">
        <v>0.13893159999999999</v>
      </c>
      <c r="W104" s="98">
        <v>9.4267500000000004E-2</v>
      </c>
      <c r="X104" s="99">
        <v>0.1325577</v>
      </c>
      <c r="Y104" s="100">
        <v>0.1114511145</v>
      </c>
      <c r="Z104" s="100">
        <v>0.15811827119999999</v>
      </c>
      <c r="AA104" s="100">
        <v>8.72622022E-2</v>
      </c>
      <c r="AB104" s="100">
        <v>0.1376241205</v>
      </c>
      <c r="AC104" s="95">
        <v>0.27922999999999998</v>
      </c>
      <c r="AD104" s="95">
        <v>0.32363999999999998</v>
      </c>
      <c r="AE104" s="95">
        <v>0.26593</v>
      </c>
      <c r="AF104" s="95">
        <v>0.21936810000000001</v>
      </c>
      <c r="AG104" s="95">
        <v>0.21246000000000001</v>
      </c>
      <c r="AH104" s="95">
        <v>0.27582180000000001</v>
      </c>
      <c r="AI104" s="95">
        <v>0.26593</v>
      </c>
      <c r="AJ104" s="95">
        <v>0.18475</v>
      </c>
      <c r="AK104" s="95">
        <v>0.23124</v>
      </c>
      <c r="AL104" s="95">
        <v>0.25345000000000001</v>
      </c>
      <c r="AM104" s="97">
        <v>0.23726800000000001</v>
      </c>
      <c r="AN104" s="95">
        <v>0.165077</v>
      </c>
      <c r="AO104" s="95">
        <v>0.201681</v>
      </c>
      <c r="AP104" s="101">
        <v>0.13563</v>
      </c>
      <c r="AQ104" s="101">
        <v>0.1507</v>
      </c>
      <c r="AR104" s="101">
        <v>0.211622</v>
      </c>
      <c r="AS104" s="101">
        <v>0.19045999999999999</v>
      </c>
      <c r="AT104" s="101">
        <v>0.14197299999999999</v>
      </c>
      <c r="AU104" s="101">
        <v>0.182281</v>
      </c>
      <c r="AV104" s="95">
        <v>0.12744539999999999</v>
      </c>
      <c r="AW104" s="95">
        <v>0.30904900000000002</v>
      </c>
      <c r="AX104" s="95">
        <v>0.26879110000000001</v>
      </c>
      <c r="AY104" s="95">
        <v>0.193775</v>
      </c>
      <c r="AZ104" s="101">
        <v>9.8825999999999997E-2</v>
      </c>
      <c r="BA104" s="101" t="s">
        <v>97</v>
      </c>
      <c r="BB104" s="95"/>
      <c r="BC104" s="95">
        <v>0.47788000000000003</v>
      </c>
      <c r="BD104" s="95"/>
      <c r="BE104" s="95"/>
      <c r="BF104" s="95"/>
      <c r="BG104" s="101"/>
      <c r="BH104" s="95">
        <v>0.187254</v>
      </c>
      <c r="BI104" s="101">
        <v>0.33245999999999998</v>
      </c>
      <c r="BJ104" s="95">
        <v>0.15761800000000001</v>
      </c>
      <c r="BK104" s="95">
        <v>0.21660499999999999</v>
      </c>
      <c r="BL104" s="95">
        <v>0.57847899999999997</v>
      </c>
      <c r="BM104" s="95">
        <v>0.58339099999999999</v>
      </c>
      <c r="BN104" s="95">
        <v>0.48637200000000003</v>
      </c>
      <c r="BO104" s="101">
        <v>0.168208</v>
      </c>
      <c r="BP104" s="101">
        <v>0.25254500000000002</v>
      </c>
      <c r="BQ104" s="101">
        <v>0.215035</v>
      </c>
      <c r="BR104" s="101">
        <v>0.15265999999999999</v>
      </c>
      <c r="BS104" s="101">
        <v>0.19600100000000001</v>
      </c>
      <c r="BT104" s="95"/>
      <c r="BU104" s="95">
        <v>0.26593</v>
      </c>
      <c r="BV104" s="97">
        <v>0.40526000000000001</v>
      </c>
      <c r="BW104" s="97">
        <v>0.22968354586480078</v>
      </c>
      <c r="BX104" s="97">
        <v>0.44600000000000001</v>
      </c>
      <c r="BY104" s="97">
        <v>0.3846</v>
      </c>
      <c r="BZ104" s="96"/>
      <c r="CA104" s="97"/>
      <c r="CB104" s="97">
        <v>0.15992400000000001</v>
      </c>
      <c r="CC104" s="97">
        <v>0.21660499999999999</v>
      </c>
      <c r="CD104" s="97">
        <v>0.63400000000000001</v>
      </c>
      <c r="CE104" s="97"/>
      <c r="CF104" s="97">
        <v>0.18059</v>
      </c>
      <c r="CG104" s="96"/>
      <c r="CH104" s="96"/>
      <c r="CI104" s="95"/>
      <c r="CJ104" s="95" t="s">
        <v>206</v>
      </c>
      <c r="CK104" s="101">
        <v>0.10779</v>
      </c>
      <c r="CL104" s="96">
        <v>0.5333</v>
      </c>
      <c r="CM104" s="101"/>
      <c r="CN104" s="101"/>
      <c r="CO104" s="95"/>
      <c r="CP104" s="95"/>
      <c r="CQ104" s="101"/>
      <c r="CR104" s="95"/>
      <c r="CS104" s="95"/>
      <c r="CT104" s="95"/>
      <c r="CU104" s="95"/>
      <c r="CV104" s="95"/>
      <c r="CW104" s="95"/>
      <c r="CX104" s="95">
        <v>1</v>
      </c>
      <c r="CY104" s="103"/>
      <c r="CZ104" s="103"/>
      <c r="DA104" s="103"/>
      <c r="DB104" s="103"/>
      <c r="DC104" s="103"/>
      <c r="DD104" s="103"/>
    </row>
    <row r="105" spans="1:108">
      <c r="A105" s="54">
        <v>93</v>
      </c>
      <c r="B105" s="95" t="s">
        <v>206</v>
      </c>
      <c r="C105" s="95">
        <v>0.73417999999999994</v>
      </c>
      <c r="D105" s="96">
        <v>0.13448599999999999</v>
      </c>
      <c r="E105" s="96">
        <v>0.14102999999999999</v>
      </c>
      <c r="F105" s="95">
        <v>0.14955199999999999</v>
      </c>
      <c r="G105" s="95">
        <v>0.15672700000000001</v>
      </c>
      <c r="H105" s="95">
        <v>0.23771400000000001</v>
      </c>
      <c r="I105" s="95">
        <v>0.26895999999999998</v>
      </c>
      <c r="J105" s="95">
        <v>0.20744599999999999</v>
      </c>
      <c r="K105" s="95">
        <v>0.21135499999999999</v>
      </c>
      <c r="L105" s="95">
        <v>0.23189000000000001</v>
      </c>
      <c r="M105" s="95">
        <v>0.166187</v>
      </c>
      <c r="N105" s="95">
        <v>0.14946200000000001</v>
      </c>
      <c r="O105" s="95">
        <v>0.18504899999999999</v>
      </c>
      <c r="P105" s="95">
        <v>0.166629</v>
      </c>
      <c r="Q105" s="97">
        <v>0.13857</v>
      </c>
      <c r="R105" s="97">
        <v>0.16528000000000001</v>
      </c>
      <c r="S105" s="97">
        <v>0.11226999999999999</v>
      </c>
      <c r="T105" s="97">
        <v>0.12912999999999999</v>
      </c>
      <c r="U105" s="98">
        <v>0.13222449999999999</v>
      </c>
      <c r="V105" s="99">
        <v>0.15022720000000001</v>
      </c>
      <c r="W105" s="98">
        <v>0.1042955</v>
      </c>
      <c r="X105" s="99">
        <v>0.1466181</v>
      </c>
      <c r="Y105" s="100">
        <v>0.122605117</v>
      </c>
      <c r="Z105" s="100">
        <v>0.17258149419999999</v>
      </c>
      <c r="AA105" s="100">
        <v>9.6591072099999994E-2</v>
      </c>
      <c r="AB105" s="100">
        <v>0.15170466739999999</v>
      </c>
      <c r="AC105" s="95">
        <v>0.30375999999999997</v>
      </c>
      <c r="AD105" s="95">
        <v>0.34666000000000002</v>
      </c>
      <c r="AE105" s="95">
        <v>0.2893</v>
      </c>
      <c r="AF105" s="95">
        <v>0.23582230000000001</v>
      </c>
      <c r="AG105" s="95">
        <v>0.22814000000000001</v>
      </c>
      <c r="AH105" s="95">
        <v>0.30066850000000001</v>
      </c>
      <c r="AI105" s="95">
        <v>0.2893</v>
      </c>
      <c r="AJ105" s="95">
        <v>0.19838</v>
      </c>
      <c r="AK105" s="95">
        <v>0.25147000000000003</v>
      </c>
      <c r="AL105" s="95">
        <v>0.27211000000000002</v>
      </c>
      <c r="AM105" s="97">
        <v>0.25687500000000002</v>
      </c>
      <c r="AN105" s="95">
        <v>0.18040100000000001</v>
      </c>
      <c r="AO105" s="95">
        <v>0.21298600000000001</v>
      </c>
      <c r="AP105" s="101">
        <v>0.14957699999999999</v>
      </c>
      <c r="AQ105" s="101">
        <v>0.16619700000000001</v>
      </c>
      <c r="AR105" s="101">
        <v>0.22556300000000001</v>
      </c>
      <c r="AS105" s="101">
        <v>0.20300699999999999</v>
      </c>
      <c r="AT105" s="101">
        <v>0.15593099999999999</v>
      </c>
      <c r="AU105" s="101">
        <v>0.19839200000000001</v>
      </c>
      <c r="AV105" s="95">
        <v>0.1362228</v>
      </c>
      <c r="AW105" s="95">
        <v>0.33386300000000002</v>
      </c>
      <c r="AX105" s="95">
        <v>0.28628049999999999</v>
      </c>
      <c r="AY105" s="95">
        <v>0.20518</v>
      </c>
      <c r="AZ105" s="101">
        <v>0.106254</v>
      </c>
      <c r="BA105" s="101" t="s">
        <v>98</v>
      </c>
      <c r="BB105" s="95"/>
      <c r="BC105" s="95">
        <v>0.50846999999999998</v>
      </c>
      <c r="BD105" s="95"/>
      <c r="BE105" s="95"/>
      <c r="BF105" s="95"/>
      <c r="BG105" s="101"/>
      <c r="BH105" s="95">
        <v>0.20058500000000001</v>
      </c>
      <c r="BI105" s="101">
        <v>0.35857</v>
      </c>
      <c r="BJ105" s="95">
        <v>0.170433</v>
      </c>
      <c r="BK105" s="95">
        <v>0.23366200000000001</v>
      </c>
      <c r="BL105" s="95">
        <v>0.61999400000000005</v>
      </c>
      <c r="BM105" s="95">
        <v>0.63007100000000005</v>
      </c>
      <c r="BN105" s="95">
        <v>0.52297000000000005</v>
      </c>
      <c r="BO105" s="101">
        <v>0.18246100000000001</v>
      </c>
      <c r="BP105" s="101">
        <v>0.27387800000000001</v>
      </c>
      <c r="BQ105" s="101">
        <v>0.232983</v>
      </c>
      <c r="BR105" s="101">
        <v>0.16766800000000001</v>
      </c>
      <c r="BS105" s="101">
        <v>0.21332499999999999</v>
      </c>
      <c r="BT105" s="95"/>
      <c r="BU105" s="95">
        <v>0.2893</v>
      </c>
      <c r="BV105" s="97">
        <v>0.45723000000000003</v>
      </c>
      <c r="BW105" s="97">
        <v>0.24249495704257618</v>
      </c>
      <c r="BX105" s="97">
        <v>0.501</v>
      </c>
      <c r="BY105" s="97">
        <v>0.5</v>
      </c>
      <c r="BZ105" s="96"/>
      <c r="CA105" s="97"/>
      <c r="CB105" s="97">
        <v>0.170433</v>
      </c>
      <c r="CC105" s="97">
        <v>0.23366200000000001</v>
      </c>
      <c r="CD105" s="97">
        <v>0.73399999999999999</v>
      </c>
      <c r="CE105" s="97"/>
      <c r="CF105" s="97">
        <v>0.19153999999999999</v>
      </c>
      <c r="CG105" s="96"/>
      <c r="CH105" s="96"/>
      <c r="CI105" s="95"/>
      <c r="CJ105" s="95" t="s">
        <v>206</v>
      </c>
      <c r="CK105" s="101">
        <v>0.1449</v>
      </c>
      <c r="CL105" s="96">
        <v>0.5917</v>
      </c>
      <c r="CM105" s="101"/>
      <c r="CN105" s="101"/>
      <c r="CO105" s="95"/>
      <c r="CP105" s="95"/>
      <c r="CQ105" s="101"/>
      <c r="CR105" s="95"/>
      <c r="CS105" s="95"/>
      <c r="CT105" s="95"/>
      <c r="CU105" s="95"/>
      <c r="CV105" s="95"/>
      <c r="CW105" s="95"/>
      <c r="CX105" s="95">
        <v>1</v>
      </c>
      <c r="CY105" s="103"/>
      <c r="CZ105" s="103"/>
      <c r="DA105" s="103"/>
      <c r="DB105" s="103"/>
      <c r="DC105" s="103"/>
      <c r="DD105" s="103"/>
    </row>
    <row r="106" spans="1:108">
      <c r="A106" s="54">
        <v>94</v>
      </c>
      <c r="B106" s="95" t="s">
        <v>206</v>
      </c>
      <c r="C106" s="95">
        <v>0.85714000000000001</v>
      </c>
      <c r="D106" s="96">
        <v>0.14568900000000001</v>
      </c>
      <c r="E106" s="96">
        <v>0.151422</v>
      </c>
      <c r="F106" s="95">
        <v>0.162079</v>
      </c>
      <c r="G106" s="95">
        <v>0.16829</v>
      </c>
      <c r="H106" s="95">
        <v>0.26194299999999998</v>
      </c>
      <c r="I106" s="95">
        <v>0.29211799999999999</v>
      </c>
      <c r="J106" s="95">
        <v>0.22196199999999999</v>
      </c>
      <c r="K106" s="95">
        <v>0.227186</v>
      </c>
      <c r="L106" s="95">
        <v>0.25714999999999999</v>
      </c>
      <c r="M106" s="95">
        <v>0.180008</v>
      </c>
      <c r="N106" s="95">
        <v>0.16183400000000001</v>
      </c>
      <c r="O106" s="95">
        <v>0.19821900000000001</v>
      </c>
      <c r="P106" s="95">
        <v>0.178537</v>
      </c>
      <c r="Q106" s="97">
        <v>0.15795000000000001</v>
      </c>
      <c r="R106" s="97">
        <v>0.18093000000000001</v>
      </c>
      <c r="S106" s="97">
        <v>0.128</v>
      </c>
      <c r="T106" s="97">
        <v>0.1416</v>
      </c>
      <c r="U106" s="98">
        <v>0.14625070000000001</v>
      </c>
      <c r="V106" s="99">
        <v>0.16244120000000001</v>
      </c>
      <c r="W106" s="98">
        <v>0.11505029999999999</v>
      </c>
      <c r="X106" s="99">
        <v>0.15857199999999999</v>
      </c>
      <c r="Y106" s="100">
        <v>0.13491300310000001</v>
      </c>
      <c r="Z106" s="100">
        <v>0.1882813864</v>
      </c>
      <c r="AA106" s="100">
        <v>0.1069792537</v>
      </c>
      <c r="AB106" s="100">
        <v>0.16723628309999999</v>
      </c>
      <c r="AC106" s="95">
        <v>0.33249000000000001</v>
      </c>
      <c r="AD106" s="95">
        <v>0.371</v>
      </c>
      <c r="AE106" s="95">
        <v>0.31666</v>
      </c>
      <c r="AF106" s="95">
        <v>0.25443749999999998</v>
      </c>
      <c r="AG106" s="95">
        <v>0.24576999999999999</v>
      </c>
      <c r="AH106" s="95">
        <v>0.33069569999999998</v>
      </c>
      <c r="AI106" s="95">
        <v>0.31666</v>
      </c>
      <c r="AJ106" s="95">
        <v>0.21371000000000001</v>
      </c>
      <c r="AK106" s="95">
        <v>0.27489999999999998</v>
      </c>
      <c r="AL106" s="95">
        <v>0.2959</v>
      </c>
      <c r="AM106" s="97">
        <v>0.279802</v>
      </c>
      <c r="AN106" s="95">
        <v>0.197349</v>
      </c>
      <c r="AO106" s="95">
        <v>0.22653499999999999</v>
      </c>
      <c r="AP106" s="101">
        <v>0.165103</v>
      </c>
      <c r="AQ106" s="101">
        <v>0.183448</v>
      </c>
      <c r="AR106" s="101">
        <v>0.242116</v>
      </c>
      <c r="AS106" s="101">
        <v>0.21790399999999999</v>
      </c>
      <c r="AT106" s="101">
        <v>0.170677</v>
      </c>
      <c r="AU106" s="101">
        <v>0.2157</v>
      </c>
      <c r="AV106" s="95">
        <v>0.14535439999999999</v>
      </c>
      <c r="AW106" s="95">
        <v>0.36012699999999997</v>
      </c>
      <c r="AX106" s="95">
        <v>0.30414409999999997</v>
      </c>
      <c r="AY106" s="95">
        <v>0.21693399999999999</v>
      </c>
      <c r="AZ106" s="101">
        <v>0.11450100000000001</v>
      </c>
      <c r="BA106" s="101" t="s">
        <v>99</v>
      </c>
      <c r="BB106" s="95"/>
      <c r="BC106" s="95">
        <v>0.55171999999999999</v>
      </c>
      <c r="BD106" s="95"/>
      <c r="BE106" s="95"/>
      <c r="BF106" s="95"/>
      <c r="BG106" s="101"/>
      <c r="BH106" s="95">
        <v>0.21470400000000001</v>
      </c>
      <c r="BI106" s="101">
        <v>0.38612000000000002</v>
      </c>
      <c r="BJ106" s="95">
        <v>0.18279899999999999</v>
      </c>
      <c r="BK106" s="95">
        <v>0.250693</v>
      </c>
      <c r="BL106" s="95">
        <v>0.66310999999999998</v>
      </c>
      <c r="BM106" s="95">
        <v>0.68464499999999995</v>
      </c>
      <c r="BN106" s="95">
        <v>0.561307</v>
      </c>
      <c r="BO106" s="101">
        <v>0.19803000000000001</v>
      </c>
      <c r="BP106" s="101">
        <v>0.29715200000000003</v>
      </c>
      <c r="BQ106" s="101">
        <v>0.25254500000000002</v>
      </c>
      <c r="BR106" s="101">
        <v>0.18352399999999999</v>
      </c>
      <c r="BS106" s="101">
        <v>0.231936</v>
      </c>
      <c r="BT106" s="95"/>
      <c r="BU106" s="95">
        <v>0.31666</v>
      </c>
      <c r="BV106" s="97">
        <v>0.51629999999999998</v>
      </c>
      <c r="BW106" s="97">
        <v>0.25598163691386633</v>
      </c>
      <c r="BX106" s="97">
        <v>0.56200000000000006</v>
      </c>
      <c r="BY106" s="97">
        <v>0.5</v>
      </c>
      <c r="BZ106" s="96"/>
      <c r="CA106" s="97"/>
      <c r="CB106" s="97">
        <v>0.18279899999999999</v>
      </c>
      <c r="CC106" s="97">
        <v>0.250693</v>
      </c>
      <c r="CD106" s="97">
        <v>0.85699999999999998</v>
      </c>
      <c r="CE106" s="97"/>
      <c r="CF106" s="97">
        <v>0.20429</v>
      </c>
      <c r="CG106" s="96"/>
      <c r="CH106" s="96"/>
      <c r="CI106" s="95"/>
      <c r="CJ106" s="95" t="s">
        <v>206</v>
      </c>
      <c r="CK106" s="101">
        <v>0.24972</v>
      </c>
      <c r="CL106" s="96">
        <v>0.65</v>
      </c>
      <c r="CM106" s="101"/>
      <c r="CN106" s="101"/>
      <c r="CO106" s="95"/>
      <c r="CP106" s="95"/>
      <c r="CQ106" s="101"/>
      <c r="CR106" s="95"/>
      <c r="CS106" s="95"/>
      <c r="CT106" s="95"/>
      <c r="CU106" s="95"/>
      <c r="CV106" s="95"/>
      <c r="CW106" s="95"/>
      <c r="CX106" s="95">
        <v>1</v>
      </c>
      <c r="CY106" s="103"/>
      <c r="CZ106" s="103"/>
      <c r="DA106" s="103"/>
      <c r="DB106" s="103"/>
      <c r="DC106" s="103"/>
      <c r="DD106" s="103"/>
    </row>
    <row r="107" spans="1:108">
      <c r="A107" s="54">
        <v>95</v>
      </c>
      <c r="B107" s="95" t="s">
        <v>206</v>
      </c>
      <c r="C107" s="95">
        <v>1</v>
      </c>
      <c r="D107" s="96">
        <v>0.15684600000000001</v>
      </c>
      <c r="E107" s="96">
        <v>0.16217899999999999</v>
      </c>
      <c r="F107" s="95">
        <v>0.17449200000000001</v>
      </c>
      <c r="G107" s="95">
        <v>0.18024499999999999</v>
      </c>
      <c r="H107" s="95">
        <v>0.28815299999999999</v>
      </c>
      <c r="I107" s="95">
        <v>0.316834</v>
      </c>
      <c r="J107" s="95">
        <v>0.237316</v>
      </c>
      <c r="K107" s="95">
        <v>0.243947</v>
      </c>
      <c r="L107" s="95">
        <v>0.28383999999999998</v>
      </c>
      <c r="M107" s="95">
        <v>0.193795</v>
      </c>
      <c r="N107" s="95">
        <v>0.17422799999999999</v>
      </c>
      <c r="O107" s="95">
        <v>0.21229100000000001</v>
      </c>
      <c r="P107" s="95">
        <v>0.191214</v>
      </c>
      <c r="Q107" s="97">
        <v>0.17998</v>
      </c>
      <c r="R107" s="97">
        <v>0.19808000000000001</v>
      </c>
      <c r="S107" s="97">
        <v>0.14641000000000001</v>
      </c>
      <c r="T107" s="97">
        <v>0.15526999999999999</v>
      </c>
      <c r="U107" s="98">
        <v>0.16265389999999999</v>
      </c>
      <c r="V107" s="99">
        <v>0.1756482</v>
      </c>
      <c r="W107" s="98">
        <v>0.12640290000000001</v>
      </c>
      <c r="X107" s="99">
        <v>0.17374680000000001</v>
      </c>
      <c r="Y107" s="100">
        <v>0.14850205650000001</v>
      </c>
      <c r="Z107" s="100">
        <v>0.205300071</v>
      </c>
      <c r="AA107" s="100">
        <v>0.1185797068</v>
      </c>
      <c r="AB107" s="100">
        <v>0.18440498620000001</v>
      </c>
      <c r="AC107" s="95">
        <v>0.36880000000000002</v>
      </c>
      <c r="AD107" s="95">
        <v>0.39621000000000001</v>
      </c>
      <c r="AE107" s="95">
        <v>0.35124</v>
      </c>
      <c r="AF107" s="95">
        <v>0.27582180000000001</v>
      </c>
      <c r="AG107" s="95">
        <v>0.26593</v>
      </c>
      <c r="AH107" s="95">
        <v>0.37064459999999999</v>
      </c>
      <c r="AI107" s="95">
        <v>0.35124</v>
      </c>
      <c r="AJ107" s="95">
        <v>0.23124</v>
      </c>
      <c r="AK107" s="95">
        <v>0.30303000000000002</v>
      </c>
      <c r="AL107" s="95">
        <v>0.32995999999999998</v>
      </c>
      <c r="AM107" s="97">
        <v>0.30884</v>
      </c>
      <c r="AN107" s="95">
        <v>0.21612899999999999</v>
      </c>
      <c r="AO107" s="95">
        <v>0.24116399999999999</v>
      </c>
      <c r="AP107" s="101">
        <v>0.182419</v>
      </c>
      <c r="AQ107" s="101">
        <v>0.20268800000000001</v>
      </c>
      <c r="AR107" s="101">
        <v>0.26009599999999999</v>
      </c>
      <c r="AS107" s="101">
        <v>0.23408599999999999</v>
      </c>
      <c r="AT107" s="101">
        <v>0.18621299999999999</v>
      </c>
      <c r="AU107" s="101">
        <v>0.23360600000000001</v>
      </c>
      <c r="AV107" s="95">
        <v>0.1548448</v>
      </c>
      <c r="AW107" s="95">
        <v>0.38784000000000002</v>
      </c>
      <c r="AX107" s="95">
        <v>0.32229770000000002</v>
      </c>
      <c r="AY107" s="95">
        <v>0.22903800000000002</v>
      </c>
      <c r="AZ107" s="101">
        <v>0.123276</v>
      </c>
      <c r="BA107" s="101" t="s">
        <v>100</v>
      </c>
      <c r="BB107" s="95"/>
      <c r="BC107" s="95">
        <v>0.61538000000000004</v>
      </c>
      <c r="BD107" s="95"/>
      <c r="BE107" s="95"/>
      <c r="BF107" s="95"/>
      <c r="BG107" s="101"/>
      <c r="BH107" s="95">
        <v>0.22963900000000001</v>
      </c>
      <c r="BI107" s="101">
        <v>0.41505999999999998</v>
      </c>
      <c r="BJ107" s="95">
        <v>0.19450899999999999</v>
      </c>
      <c r="BK107" s="95">
        <v>0.26749099999999998</v>
      </c>
      <c r="BL107" s="95">
        <v>0.70769700000000002</v>
      </c>
      <c r="BM107" s="95">
        <v>0.75386500000000001</v>
      </c>
      <c r="BN107" s="95">
        <v>0.60131500000000004</v>
      </c>
      <c r="BO107" s="101">
        <v>0.215035</v>
      </c>
      <c r="BP107" s="101">
        <v>0.32255299999999998</v>
      </c>
      <c r="BQ107" s="101">
        <v>0.27387800000000001</v>
      </c>
      <c r="BR107" s="101">
        <v>0.20022899999999999</v>
      </c>
      <c r="BS107" s="101">
        <v>0.251189</v>
      </c>
      <c r="BT107" s="95"/>
      <c r="BU107" s="95">
        <v>0.35124</v>
      </c>
      <c r="BV107" s="97">
        <v>0.58426999999999996</v>
      </c>
      <c r="BW107" s="97">
        <v>0.27015736014223424</v>
      </c>
      <c r="BX107" s="97">
        <v>0.63100000000000001</v>
      </c>
      <c r="BY107" s="97">
        <v>1</v>
      </c>
      <c r="BZ107" s="96"/>
      <c r="CA107" s="97"/>
      <c r="CB107" s="97">
        <v>0.19450899999999999</v>
      </c>
      <c r="CC107" s="97">
        <v>0.26749099999999998</v>
      </c>
      <c r="CD107" s="97">
        <v>1</v>
      </c>
      <c r="CE107" s="97"/>
      <c r="CF107" s="97">
        <v>0.21944</v>
      </c>
      <c r="CG107" s="96"/>
      <c r="CH107" s="96"/>
      <c r="CI107" s="95"/>
      <c r="CJ107" s="95" t="s">
        <v>206</v>
      </c>
      <c r="CK107" s="101">
        <v>0.55227999999999999</v>
      </c>
      <c r="CL107" s="96">
        <v>0.70830000000000004</v>
      </c>
      <c r="CM107" s="101"/>
      <c r="CN107" s="101"/>
      <c r="CO107" s="95"/>
      <c r="CP107" s="95"/>
      <c r="CQ107" s="101"/>
      <c r="CR107" s="95"/>
      <c r="CS107" s="95"/>
      <c r="CT107" s="95"/>
      <c r="CU107" s="95"/>
      <c r="CV107" s="95"/>
      <c r="CW107" s="95"/>
      <c r="CX107" s="95">
        <v>1</v>
      </c>
      <c r="CY107" s="103"/>
      <c r="CZ107" s="103"/>
      <c r="DA107" s="103"/>
      <c r="DB107" s="103"/>
      <c r="DC107" s="103"/>
      <c r="DD107" s="103"/>
    </row>
    <row r="108" spans="1:108">
      <c r="A108" s="54">
        <v>96</v>
      </c>
      <c r="B108" s="95" t="s">
        <v>206</v>
      </c>
      <c r="C108" s="95"/>
      <c r="D108" s="96">
        <v>0.16784099999999999</v>
      </c>
      <c r="E108" s="96">
        <v>0.17327899999999999</v>
      </c>
      <c r="F108" s="95">
        <v>0.18664700000000001</v>
      </c>
      <c r="G108" s="95">
        <v>0.19256499999999999</v>
      </c>
      <c r="H108" s="95">
        <v>0.31639099999999998</v>
      </c>
      <c r="I108" s="95">
        <v>0.34312199999999998</v>
      </c>
      <c r="J108" s="95">
        <v>0.25348700000000002</v>
      </c>
      <c r="K108" s="95">
        <v>0.26165899999999997</v>
      </c>
      <c r="L108" s="95">
        <v>0.31157000000000001</v>
      </c>
      <c r="M108" s="95">
        <v>0.20741100000000001</v>
      </c>
      <c r="N108" s="95">
        <v>0.18653500000000001</v>
      </c>
      <c r="O108" s="95">
        <v>0.22734599999999999</v>
      </c>
      <c r="P108" s="95">
        <v>0.20472099999999999</v>
      </c>
      <c r="Q108" s="97">
        <v>0.20594000000000001</v>
      </c>
      <c r="R108" s="97">
        <v>0.21686</v>
      </c>
      <c r="S108" s="97">
        <v>0.16835</v>
      </c>
      <c r="T108" s="97">
        <v>0.17027</v>
      </c>
      <c r="U108" s="98">
        <v>0.18100759999999999</v>
      </c>
      <c r="V108" s="99">
        <v>0.18992909999999999</v>
      </c>
      <c r="W108" s="98">
        <v>0.1371851</v>
      </c>
      <c r="X108" s="99">
        <v>0.1895589</v>
      </c>
      <c r="Y108" s="100">
        <v>0.16350397629999999</v>
      </c>
      <c r="Z108" s="100">
        <v>0.22374570269999999</v>
      </c>
      <c r="AA108" s="100">
        <v>0.1315729034</v>
      </c>
      <c r="AB108" s="100">
        <v>0.20337397679999999</v>
      </c>
      <c r="AC108" s="95">
        <v>0.42059000000000002</v>
      </c>
      <c r="AD108" s="95">
        <v>0.44718999999999998</v>
      </c>
      <c r="AE108" s="95">
        <v>0.40056000000000003</v>
      </c>
      <c r="AF108" s="95">
        <v>0.30066850000000001</v>
      </c>
      <c r="AG108" s="95">
        <v>0.2893</v>
      </c>
      <c r="AH108" s="95">
        <v>0.43348809999999999</v>
      </c>
      <c r="AI108" s="95">
        <v>0.40056000000000003</v>
      </c>
      <c r="AJ108" s="95">
        <v>0.25147000000000003</v>
      </c>
      <c r="AK108" s="95">
        <v>0.34336</v>
      </c>
      <c r="AL108" s="95">
        <v>0.38455</v>
      </c>
      <c r="AM108" s="97">
        <v>0.35178999999999999</v>
      </c>
      <c r="AN108" s="95">
        <v>0.23696999999999999</v>
      </c>
      <c r="AO108" s="95">
        <v>0.25620399999999999</v>
      </c>
      <c r="AP108" s="101">
        <v>0.20175699999999999</v>
      </c>
      <c r="AQ108" s="101">
        <v>0.22417400000000001</v>
      </c>
      <c r="AR108" s="101">
        <v>0.27604000000000001</v>
      </c>
      <c r="AS108" s="101">
        <v>0.24843599999999999</v>
      </c>
      <c r="AT108" s="101">
        <v>0.202538</v>
      </c>
      <c r="AU108" s="101">
        <v>0.25151000000000001</v>
      </c>
      <c r="AV108" s="95">
        <v>0.16469880000000001</v>
      </c>
      <c r="AW108" s="95">
        <v>0.41698600000000002</v>
      </c>
      <c r="AX108" s="95">
        <v>0.34065069999999997</v>
      </c>
      <c r="AY108" s="95">
        <v>0.24149100000000001</v>
      </c>
      <c r="AZ108" s="101">
        <v>0.132579</v>
      </c>
      <c r="BA108" s="101" t="s">
        <v>101</v>
      </c>
      <c r="BB108" s="95"/>
      <c r="BC108" s="95">
        <v>0.8</v>
      </c>
      <c r="BD108" s="95"/>
      <c r="BE108" s="95"/>
      <c r="BF108" s="95"/>
      <c r="BG108" s="101"/>
      <c r="BH108" s="95">
        <v>0.24540200000000001</v>
      </c>
      <c r="BI108" s="101">
        <v>0.44531999999999999</v>
      </c>
      <c r="BJ108" s="95">
        <v>0.20537900000000001</v>
      </c>
      <c r="BK108" s="95">
        <v>0.28390500000000002</v>
      </c>
      <c r="BL108" s="95">
        <v>0.75360099999999997</v>
      </c>
      <c r="BM108" s="95">
        <v>0.75732600000000005</v>
      </c>
      <c r="BN108" s="95">
        <v>0.64290599999999998</v>
      </c>
      <c r="BO108" s="101">
        <v>0.232983</v>
      </c>
      <c r="BP108" s="101">
        <v>0.34950500000000001</v>
      </c>
      <c r="BQ108" s="101">
        <v>0.29715200000000003</v>
      </c>
      <c r="BR108" s="101">
        <v>0.217783</v>
      </c>
      <c r="BS108" s="101">
        <v>0.27044099999999999</v>
      </c>
      <c r="BT108" s="95"/>
      <c r="BU108" s="95">
        <v>0.40056000000000003</v>
      </c>
      <c r="BV108" s="97">
        <v>0.64863999999999999</v>
      </c>
      <c r="BW108" s="97">
        <v>0.28503365711643092</v>
      </c>
      <c r="BX108" s="97">
        <v>0.70799999999999996</v>
      </c>
      <c r="BY108" s="97">
        <v>1</v>
      </c>
      <c r="BZ108" s="96"/>
      <c r="CA108" s="97"/>
      <c r="CB108" s="97">
        <v>0.20537900000000001</v>
      </c>
      <c r="CC108" s="97">
        <v>0.28390500000000002</v>
      </c>
      <c r="CD108" s="97">
        <v>1</v>
      </c>
      <c r="CE108" s="97"/>
      <c r="CF108" s="97">
        <v>0.23769000000000001</v>
      </c>
      <c r="CG108" s="96"/>
      <c r="CH108" s="96"/>
      <c r="CI108" s="95"/>
      <c r="CJ108" s="95" t="s">
        <v>206</v>
      </c>
      <c r="CK108" s="101">
        <v>0.85484000000000004</v>
      </c>
      <c r="CL108" s="96">
        <v>0.76659999999999995</v>
      </c>
      <c r="CM108" s="101"/>
      <c r="CN108" s="101"/>
      <c r="CO108" s="95"/>
      <c r="CP108" s="95"/>
      <c r="CQ108" s="101"/>
      <c r="CR108" s="95"/>
      <c r="CS108" s="95"/>
      <c r="CT108" s="95"/>
      <c r="CU108" s="95"/>
      <c r="CV108" s="95"/>
      <c r="CW108" s="95"/>
      <c r="CX108" s="95">
        <v>1</v>
      </c>
      <c r="CY108" s="103"/>
      <c r="CZ108" s="103"/>
      <c r="DA108" s="103"/>
      <c r="DB108" s="103"/>
      <c r="DC108" s="103"/>
      <c r="DD108" s="103"/>
    </row>
    <row r="109" spans="1:108">
      <c r="A109" s="54">
        <v>97</v>
      </c>
      <c r="B109" s="95" t="s">
        <v>206</v>
      </c>
      <c r="C109" s="95"/>
      <c r="D109" s="96">
        <v>0.178563</v>
      </c>
      <c r="E109" s="96">
        <v>0.18470600000000001</v>
      </c>
      <c r="F109" s="95">
        <v>0.198403</v>
      </c>
      <c r="G109" s="95">
        <v>0.20522899999999999</v>
      </c>
      <c r="H109" s="95">
        <v>0.34667399999999998</v>
      </c>
      <c r="I109" s="95">
        <v>0.370973</v>
      </c>
      <c r="J109" s="95">
        <v>0.271569</v>
      </c>
      <c r="K109" s="95">
        <v>0.28034199999999998</v>
      </c>
      <c r="L109" s="95">
        <v>0.34021000000000001</v>
      </c>
      <c r="M109" s="95">
        <v>0.220718</v>
      </c>
      <c r="N109" s="95">
        <v>0.19864599999999999</v>
      </c>
      <c r="O109" s="95">
        <v>0.24346699999999999</v>
      </c>
      <c r="P109" s="95">
        <v>0.21912000000000001</v>
      </c>
      <c r="Q109" s="97">
        <v>0.23014999999999999</v>
      </c>
      <c r="R109" s="97">
        <v>0.23741999999999999</v>
      </c>
      <c r="S109" s="97">
        <v>0.18672</v>
      </c>
      <c r="T109" s="97">
        <v>0.18672</v>
      </c>
      <c r="U109" s="98">
        <v>0.19992869999999999</v>
      </c>
      <c r="V109" s="99">
        <v>0.205371</v>
      </c>
      <c r="W109" s="98">
        <v>0.14779100000000001</v>
      </c>
      <c r="X109" s="99">
        <v>0.205371</v>
      </c>
      <c r="Y109" s="100">
        <v>0.1800885327</v>
      </c>
      <c r="Z109" s="100">
        <v>0.24369914309999999</v>
      </c>
      <c r="AA109" s="100">
        <v>0.14609850099999999</v>
      </c>
      <c r="AB109" s="100">
        <v>0.22436833810000001</v>
      </c>
      <c r="AC109" s="95">
        <v>0.51283999999999996</v>
      </c>
      <c r="AD109" s="95">
        <v>0.54825999999999997</v>
      </c>
      <c r="AE109" s="95">
        <v>0.48842000000000002</v>
      </c>
      <c r="AF109" s="95">
        <v>0.33069569999999998</v>
      </c>
      <c r="AG109" s="95">
        <v>0.31666</v>
      </c>
      <c r="AH109" s="95">
        <v>0.54924890000000004</v>
      </c>
      <c r="AI109" s="95">
        <v>0.48842000000000002</v>
      </c>
      <c r="AJ109" s="95">
        <v>0.27489999999999998</v>
      </c>
      <c r="AK109" s="95">
        <v>0.40978999999999999</v>
      </c>
      <c r="AL109" s="95">
        <v>0.48020000000000002</v>
      </c>
      <c r="AM109" s="97">
        <v>0.42848000000000003</v>
      </c>
      <c r="AN109" s="95">
        <v>0.25805899999999998</v>
      </c>
      <c r="AO109" s="95">
        <v>0.27248</v>
      </c>
      <c r="AP109" s="101">
        <v>0.22204399999999999</v>
      </c>
      <c r="AQ109" s="101">
        <v>0.24671499999999999</v>
      </c>
      <c r="AR109" s="101">
        <v>0.29328199999999999</v>
      </c>
      <c r="AS109" s="101">
        <v>0.26395400000000002</v>
      </c>
      <c r="AT109" s="101">
        <v>0.21965499999999999</v>
      </c>
      <c r="AU109" s="101">
        <v>0.26881500000000003</v>
      </c>
      <c r="AV109" s="95">
        <v>0.1749211</v>
      </c>
      <c r="AW109" s="95">
        <v>0.44753500000000002</v>
      </c>
      <c r="AX109" s="95">
        <v>0.35910900000000001</v>
      </c>
      <c r="AY109" s="95">
        <v>0.25429499999999999</v>
      </c>
      <c r="AZ109" s="101">
        <v>0.14241000000000001</v>
      </c>
      <c r="BA109" s="101" t="s">
        <v>102</v>
      </c>
      <c r="BB109" s="95"/>
      <c r="BC109" s="95">
        <v>1</v>
      </c>
      <c r="BD109" s="95"/>
      <c r="BE109" s="95"/>
      <c r="BF109" s="95"/>
      <c r="BG109" s="101"/>
      <c r="BH109" s="95">
        <v>0.26252799999999998</v>
      </c>
      <c r="BI109" s="101">
        <v>0.47681000000000001</v>
      </c>
      <c r="BJ109" s="95">
        <v>0.21523999999999999</v>
      </c>
      <c r="BK109" s="95">
        <v>0.29985200000000001</v>
      </c>
      <c r="BL109" s="95">
        <v>0.800647</v>
      </c>
      <c r="BM109" s="95">
        <v>0.79893700000000001</v>
      </c>
      <c r="BN109" s="95">
        <v>0.68596699999999999</v>
      </c>
      <c r="BO109" s="101">
        <v>0.25254500000000002</v>
      </c>
      <c r="BP109" s="101">
        <v>0.37886500000000001</v>
      </c>
      <c r="BQ109" s="101">
        <v>0.32255299999999998</v>
      </c>
      <c r="BR109" s="101">
        <v>0.23618800000000001</v>
      </c>
      <c r="BS109" s="101">
        <v>0.28904800000000003</v>
      </c>
      <c r="BT109" s="95"/>
      <c r="BU109" s="95">
        <v>0.48842000000000002</v>
      </c>
      <c r="BV109" s="97">
        <v>0.69230999999999998</v>
      </c>
      <c r="BW109" s="97">
        <v>0.30061940014497202</v>
      </c>
      <c r="BX109" s="97">
        <v>0.79400000000000004</v>
      </c>
      <c r="BY109" s="97">
        <v>1</v>
      </c>
      <c r="BZ109" s="96"/>
      <c r="CA109" s="97"/>
      <c r="CB109" s="97">
        <v>0.21523999999999999</v>
      </c>
      <c r="CC109" s="97">
        <v>0.29985200000000001</v>
      </c>
      <c r="CD109" s="97">
        <v>1</v>
      </c>
      <c r="CE109" s="97"/>
      <c r="CF109" s="97">
        <v>0.25984000000000002</v>
      </c>
      <c r="CG109" s="96"/>
      <c r="CH109" s="96"/>
      <c r="CI109" s="95"/>
      <c r="CJ109" s="95" t="s">
        <v>206</v>
      </c>
      <c r="CK109" s="101">
        <v>0.95965999999999996</v>
      </c>
      <c r="CL109" s="96">
        <v>0.82499999999999996</v>
      </c>
      <c r="CM109" s="101"/>
      <c r="CN109" s="101"/>
      <c r="CO109" s="95"/>
      <c r="CP109" s="95"/>
      <c r="CQ109" s="101"/>
      <c r="CR109" s="95"/>
      <c r="CS109" s="95"/>
      <c r="CT109" s="95"/>
      <c r="CU109" s="95"/>
      <c r="CV109" s="95"/>
      <c r="CW109" s="95"/>
      <c r="CX109" s="95">
        <v>1</v>
      </c>
      <c r="CY109" s="103"/>
      <c r="CZ109" s="103"/>
      <c r="DA109" s="103"/>
      <c r="DB109" s="103"/>
      <c r="DC109" s="103"/>
      <c r="DD109" s="103"/>
    </row>
    <row r="110" spans="1:108">
      <c r="A110" s="54">
        <v>98</v>
      </c>
      <c r="B110" s="95" t="s">
        <v>206</v>
      </c>
      <c r="C110" s="95"/>
      <c r="D110" s="96">
        <v>0.18960399999999999</v>
      </c>
      <c r="E110" s="96">
        <v>0.19694600000000001</v>
      </c>
      <c r="F110" s="95">
        <v>0.210337</v>
      </c>
      <c r="G110" s="95">
        <v>0.21868299999999999</v>
      </c>
      <c r="H110" s="95">
        <v>0.37898599999999999</v>
      </c>
      <c r="I110" s="95">
        <v>0.40035199999999999</v>
      </c>
      <c r="J110" s="95">
        <v>0.29313799999999995</v>
      </c>
      <c r="K110" s="95">
        <v>0.30001499999999998</v>
      </c>
      <c r="L110" s="95">
        <v>0.36976999999999999</v>
      </c>
      <c r="M110" s="95">
        <v>0.234236</v>
      </c>
      <c r="N110" s="95">
        <v>0.21110200000000001</v>
      </c>
      <c r="O110" s="95">
        <v>0.260903</v>
      </c>
      <c r="P110" s="95">
        <v>0.234735</v>
      </c>
      <c r="Q110" s="97">
        <v>0.25194</v>
      </c>
      <c r="R110" s="97">
        <v>0.25994</v>
      </c>
      <c r="S110" s="97">
        <v>0.20477000000000001</v>
      </c>
      <c r="T110" s="97">
        <v>0.20477000000000001</v>
      </c>
      <c r="U110" s="98">
        <v>0.2191843</v>
      </c>
      <c r="V110" s="99">
        <v>0.2220684</v>
      </c>
      <c r="W110" s="98">
        <v>0.15928780000000001</v>
      </c>
      <c r="X110" s="99">
        <v>0.2220684</v>
      </c>
      <c r="Y110" s="100">
        <v>0.19842335890000001</v>
      </c>
      <c r="Z110" s="100">
        <v>0.26525493719999998</v>
      </c>
      <c r="AA110" s="100">
        <v>0.162408948</v>
      </c>
      <c r="AB110" s="100">
        <v>0.2475889855</v>
      </c>
      <c r="AC110" s="95">
        <v>0.70155999999999996</v>
      </c>
      <c r="AD110" s="95">
        <v>0.72467000000000004</v>
      </c>
      <c r="AE110" s="95">
        <v>0.66815000000000002</v>
      </c>
      <c r="AF110" s="95">
        <v>0.37064459999999999</v>
      </c>
      <c r="AG110" s="95">
        <v>0.35124</v>
      </c>
      <c r="AH110" s="95">
        <v>0.75079620000000002</v>
      </c>
      <c r="AI110" s="95">
        <v>0.66815000000000002</v>
      </c>
      <c r="AJ110" s="95">
        <v>0.30303000000000002</v>
      </c>
      <c r="AK110" s="95">
        <v>0.52261999999999997</v>
      </c>
      <c r="AL110" s="95">
        <v>0.65798000000000001</v>
      </c>
      <c r="AM110" s="97">
        <v>0.56225000000000003</v>
      </c>
      <c r="AN110" s="95">
        <v>0.28023700000000001</v>
      </c>
      <c r="AO110" s="95">
        <v>0.290163</v>
      </c>
      <c r="AP110" s="101">
        <v>0.243899</v>
      </c>
      <c r="AQ110" s="101">
        <v>0.27099899999999999</v>
      </c>
      <c r="AR110" s="101">
        <v>0.31200299999999997</v>
      </c>
      <c r="AS110" s="101">
        <v>0.28080300000000002</v>
      </c>
      <c r="AT110" s="101">
        <v>0.23771300000000001</v>
      </c>
      <c r="AU110" s="101">
        <v>0.285277</v>
      </c>
      <c r="AV110" s="95">
        <v>0.1855166</v>
      </c>
      <c r="AW110" s="95">
        <v>0.47943799999999998</v>
      </c>
      <c r="AX110" s="95">
        <v>0.37757590000000002</v>
      </c>
      <c r="AY110" s="95">
        <v>0.26744799999999996</v>
      </c>
      <c r="AZ110" s="101">
        <v>0.15276899999999999</v>
      </c>
      <c r="BA110" s="101" t="s">
        <v>103</v>
      </c>
      <c r="BB110" s="95"/>
      <c r="BC110" s="95"/>
      <c r="BD110" s="95"/>
      <c r="BE110" s="95"/>
      <c r="BF110" s="95"/>
      <c r="BG110" s="101"/>
      <c r="BH110" s="95">
        <v>0.28235399999999999</v>
      </c>
      <c r="BI110" s="101">
        <v>0.50939000000000001</v>
      </c>
      <c r="BJ110" s="95">
        <v>0.22394700000000001</v>
      </c>
      <c r="BK110" s="95">
        <v>0.31529600000000002</v>
      </c>
      <c r="BL110" s="95">
        <v>0.848638</v>
      </c>
      <c r="BM110" s="95">
        <v>0.88632500000000003</v>
      </c>
      <c r="BN110" s="95">
        <v>0.73036500000000004</v>
      </c>
      <c r="BO110" s="101">
        <v>0.27387800000000001</v>
      </c>
      <c r="BP110" s="101">
        <v>0.41087499999999999</v>
      </c>
      <c r="BQ110" s="101">
        <v>0.34950500000000001</v>
      </c>
      <c r="BR110" s="101">
        <v>0.25560500000000003</v>
      </c>
      <c r="BS110" s="101">
        <v>0.30675000000000002</v>
      </c>
      <c r="BT110" s="95"/>
      <c r="BU110" s="95">
        <v>0.66815000000000002</v>
      </c>
      <c r="BV110" s="97">
        <v>0.75</v>
      </c>
      <c r="BW110" s="97">
        <v>0.31692035770321814</v>
      </c>
      <c r="BX110" s="97">
        <v>0.89100000000000001</v>
      </c>
      <c r="BY110" s="97">
        <v>1</v>
      </c>
      <c r="BZ110" s="96"/>
      <c r="CA110" s="97"/>
      <c r="CB110" s="97">
        <v>0.22394700000000001</v>
      </c>
      <c r="CC110" s="97">
        <v>0.31529600000000002</v>
      </c>
      <c r="CD110" s="97">
        <v>1</v>
      </c>
      <c r="CE110" s="97"/>
      <c r="CF110" s="97">
        <v>0.28678999999999999</v>
      </c>
      <c r="CG110" s="96"/>
      <c r="CH110" s="96"/>
      <c r="CI110" s="95"/>
      <c r="CJ110" s="95" t="s">
        <v>206</v>
      </c>
      <c r="CK110" s="101">
        <v>0.99212999999999996</v>
      </c>
      <c r="CL110" s="96">
        <v>0.88329999999999997</v>
      </c>
      <c r="CM110" s="101"/>
      <c r="CN110" s="101"/>
      <c r="CO110" s="95"/>
      <c r="CP110" s="95"/>
      <c r="CQ110" s="101"/>
      <c r="CR110" s="95"/>
      <c r="CS110" s="95"/>
      <c r="CT110" s="95"/>
      <c r="CU110" s="95"/>
      <c r="CV110" s="95"/>
      <c r="CW110" s="95"/>
      <c r="CX110" s="95">
        <v>1</v>
      </c>
      <c r="CY110" s="103"/>
      <c r="CZ110" s="103"/>
      <c r="DA110" s="103"/>
      <c r="DB110" s="103"/>
      <c r="DC110" s="103"/>
      <c r="DD110" s="103"/>
    </row>
    <row r="111" spans="1:108">
      <c r="A111" s="54">
        <v>99</v>
      </c>
      <c r="B111" s="95" t="s">
        <v>206</v>
      </c>
      <c r="C111" s="95"/>
      <c r="D111" s="96">
        <v>0.20155699999999999</v>
      </c>
      <c r="E111" s="96">
        <v>0.210484</v>
      </c>
      <c r="F111" s="95">
        <v>0.223027</v>
      </c>
      <c r="G111" s="95">
        <v>0.233371</v>
      </c>
      <c r="H111" s="95">
        <v>0.41326600000000002</v>
      </c>
      <c r="I111" s="95">
        <v>0.431199</v>
      </c>
      <c r="J111" s="95">
        <v>0.31843400000000005</v>
      </c>
      <c r="K111" s="95">
        <v>0.32069600000000004</v>
      </c>
      <c r="L111" s="95">
        <v>0.40018999999999999</v>
      </c>
      <c r="M111" s="95">
        <v>0.24848500000000001</v>
      </c>
      <c r="N111" s="95">
        <v>0.22444500000000001</v>
      </c>
      <c r="O111" s="95">
        <v>0.27990300000000001</v>
      </c>
      <c r="P111" s="95">
        <v>0.25188899999999997</v>
      </c>
      <c r="Q111" s="97">
        <v>0.27911999999999998</v>
      </c>
      <c r="R111" s="97">
        <v>0.28460000000000002</v>
      </c>
      <c r="S111" s="97">
        <v>0.22456999999999999</v>
      </c>
      <c r="T111" s="97">
        <v>0.22456999999999999</v>
      </c>
      <c r="U111" s="98">
        <v>0.2407379</v>
      </c>
      <c r="V111" s="99">
        <v>0.24012330000000001</v>
      </c>
      <c r="W111" s="98">
        <v>0.1717446</v>
      </c>
      <c r="X111" s="99">
        <v>0.24012330000000001</v>
      </c>
      <c r="Y111" s="100">
        <v>0.2187140517</v>
      </c>
      <c r="Z111" s="100">
        <v>0.28854375469999999</v>
      </c>
      <c r="AA111" s="100">
        <v>0.18071775840000001</v>
      </c>
      <c r="AB111" s="100">
        <v>0.27327738330000001</v>
      </c>
      <c r="AC111" s="95">
        <v>1</v>
      </c>
      <c r="AD111" s="95">
        <v>1</v>
      </c>
      <c r="AE111" s="95">
        <v>1</v>
      </c>
      <c r="AF111" s="95">
        <v>0.43348809999999999</v>
      </c>
      <c r="AG111" s="95">
        <v>0.40056000000000003</v>
      </c>
      <c r="AH111" s="95">
        <v>1</v>
      </c>
      <c r="AI111" s="95">
        <v>1</v>
      </c>
      <c r="AJ111" s="95">
        <v>0.34336</v>
      </c>
      <c r="AK111" s="95">
        <v>0.70855000000000001</v>
      </c>
      <c r="AL111" s="95">
        <v>1</v>
      </c>
      <c r="AM111" s="97">
        <v>0.75283999999999995</v>
      </c>
      <c r="AN111" s="95">
        <v>0.30467899999999998</v>
      </c>
      <c r="AO111" s="95">
        <v>0.30912499999999998</v>
      </c>
      <c r="AP111" s="101">
        <v>0.26818500000000001</v>
      </c>
      <c r="AQ111" s="101">
        <v>0.297983</v>
      </c>
      <c r="AR111" s="101">
        <v>0.33239299999999999</v>
      </c>
      <c r="AS111" s="101">
        <v>0.29915399999999998</v>
      </c>
      <c r="AT111" s="101">
        <v>0.256712</v>
      </c>
      <c r="AU111" s="101">
        <v>0.30129800000000001</v>
      </c>
      <c r="AV111" s="95">
        <v>0.19649</v>
      </c>
      <c r="AW111" s="95">
        <v>0.51263000000000003</v>
      </c>
      <c r="AX111" s="95">
        <v>0.39595459999999999</v>
      </c>
      <c r="AY111" s="95">
        <v>0.28095100000000001</v>
      </c>
      <c r="AZ111" s="101">
        <v>0.163656</v>
      </c>
      <c r="BA111" s="101" t="s">
        <v>104</v>
      </c>
      <c r="BB111" s="95"/>
      <c r="BC111" s="95"/>
      <c r="BD111" s="95"/>
      <c r="BE111" s="95"/>
      <c r="BF111" s="95"/>
      <c r="BG111" s="101"/>
      <c r="BH111" s="95">
        <v>0.305786</v>
      </c>
      <c r="BI111" s="101">
        <v>0.54288999999999998</v>
      </c>
      <c r="BJ111" s="95">
        <v>0.23138700000000001</v>
      </c>
      <c r="BK111" s="95">
        <v>0.33020699999999997</v>
      </c>
      <c r="BL111" s="95">
        <v>0.89736099999999996</v>
      </c>
      <c r="BM111" s="95">
        <v>0.969804</v>
      </c>
      <c r="BN111" s="95">
        <v>0.77594300000000005</v>
      </c>
      <c r="BO111" s="101">
        <v>0.29715200000000003</v>
      </c>
      <c r="BP111" s="101">
        <v>0.445768</v>
      </c>
      <c r="BQ111" s="101">
        <v>0.37886500000000001</v>
      </c>
      <c r="BR111" s="101">
        <v>0.27603499999999997</v>
      </c>
      <c r="BS111" s="101">
        <v>0.32397599999999999</v>
      </c>
      <c r="BT111" s="95"/>
      <c r="BU111" s="95">
        <v>1</v>
      </c>
      <c r="BV111" s="97">
        <v>0.75</v>
      </c>
      <c r="BW111" s="97">
        <v>0.33393871926916496</v>
      </c>
      <c r="BX111" s="97">
        <v>1</v>
      </c>
      <c r="BY111" s="97">
        <v>1</v>
      </c>
      <c r="BZ111" s="96"/>
      <c r="CA111" s="97"/>
      <c r="CB111" s="97">
        <v>0.23138700000000001</v>
      </c>
      <c r="CC111" s="97">
        <v>0.33020699999999997</v>
      </c>
      <c r="CD111" s="97">
        <v>1</v>
      </c>
      <c r="CE111" s="97"/>
      <c r="CF111" s="97">
        <v>0.31953999999999999</v>
      </c>
      <c r="CG111" s="96"/>
      <c r="CH111" s="96"/>
      <c r="CI111" s="95"/>
      <c r="CJ111" s="95" t="s">
        <v>206</v>
      </c>
      <c r="CK111" s="101">
        <v>1</v>
      </c>
      <c r="CL111" s="96">
        <v>1</v>
      </c>
      <c r="CM111" s="101"/>
      <c r="CN111" s="101"/>
      <c r="CO111" s="95"/>
      <c r="CP111" s="95"/>
      <c r="CQ111" s="101"/>
      <c r="CR111" s="95"/>
      <c r="CS111" s="95"/>
      <c r="CT111" s="95"/>
      <c r="CU111" s="95"/>
      <c r="CV111" s="95"/>
      <c r="CW111" s="95"/>
      <c r="CX111" s="95">
        <v>1</v>
      </c>
      <c r="CY111" s="103"/>
      <c r="CZ111" s="103"/>
      <c r="DA111" s="103"/>
      <c r="DB111" s="103"/>
      <c r="DC111" s="103"/>
      <c r="DD111" s="103"/>
    </row>
    <row r="112" spans="1:108">
      <c r="A112" s="54">
        <v>100</v>
      </c>
      <c r="B112" s="95" t="s">
        <v>206</v>
      </c>
      <c r="C112" s="95"/>
      <c r="D112" s="96">
        <v>0.21501300000000001</v>
      </c>
      <c r="E112" s="96">
        <v>0.22580600000000001</v>
      </c>
      <c r="F112" s="95">
        <v>0.23705100000000001</v>
      </c>
      <c r="G112" s="95">
        <v>0.24974099999999999</v>
      </c>
      <c r="H112" s="95">
        <v>0.44940000000000002</v>
      </c>
      <c r="I112" s="95">
        <v>0.46341500000000002</v>
      </c>
      <c r="J112" s="95">
        <v>0.34787299999999999</v>
      </c>
      <c r="K112" s="95">
        <v>0.34240199999999998</v>
      </c>
      <c r="L112" s="95">
        <v>0.43141000000000002</v>
      </c>
      <c r="M112" s="95">
        <v>0.26398500000000003</v>
      </c>
      <c r="N112" s="95">
        <v>0.23921500000000001</v>
      </c>
      <c r="O112" s="95">
        <v>0.30071599999999998</v>
      </c>
      <c r="P112" s="95">
        <v>0.27090599999999998</v>
      </c>
      <c r="Q112" s="97">
        <v>0.31072</v>
      </c>
      <c r="R112" s="97">
        <v>0.31161</v>
      </c>
      <c r="S112" s="97">
        <v>0.24628</v>
      </c>
      <c r="T112" s="97">
        <v>0.24628</v>
      </c>
      <c r="U112" s="98">
        <v>0.25964619999999999</v>
      </c>
      <c r="V112" s="99">
        <v>0.25964619999999999</v>
      </c>
      <c r="W112" s="98">
        <v>0.18171029999999999</v>
      </c>
      <c r="X112" s="99">
        <v>0.25964619999999999</v>
      </c>
      <c r="Y112" s="100">
        <v>0.24118319120000001</v>
      </c>
      <c r="Z112" s="100">
        <v>0.31359643809999999</v>
      </c>
      <c r="AA112" s="100">
        <v>0.20137919479999999</v>
      </c>
      <c r="AB112" s="100">
        <v>0.30168584349999999</v>
      </c>
      <c r="AC112" s="95"/>
      <c r="AD112" s="95"/>
      <c r="AE112" s="95"/>
      <c r="AF112" s="95">
        <v>0.54924890000000004</v>
      </c>
      <c r="AG112" s="95">
        <v>0.48842000000000002</v>
      </c>
      <c r="AH112" s="95"/>
      <c r="AI112" s="95"/>
      <c r="AJ112" s="95">
        <v>0.40978999999999999</v>
      </c>
      <c r="AK112" s="95">
        <v>1</v>
      </c>
      <c r="AL112" s="95"/>
      <c r="AM112" s="97">
        <v>0.75283999999999995</v>
      </c>
      <c r="AN112" s="95">
        <v>0.33162999999999998</v>
      </c>
      <c r="AO112" s="95">
        <v>0.32982499999999998</v>
      </c>
      <c r="AP112" s="101">
        <v>0.29518699999999998</v>
      </c>
      <c r="AQ112" s="101">
        <v>0.327986</v>
      </c>
      <c r="AR112" s="101">
        <v>0.35465000000000002</v>
      </c>
      <c r="AS112" s="101">
        <v>0.319185</v>
      </c>
      <c r="AT112" s="101">
        <v>0.27642699999999998</v>
      </c>
      <c r="AU112" s="101">
        <v>0.31723800000000002</v>
      </c>
      <c r="AV112" s="95">
        <v>0.20784610000000001</v>
      </c>
      <c r="AW112" s="95">
        <v>0.54702899999999999</v>
      </c>
      <c r="AX112" s="95">
        <v>0.41415020000000002</v>
      </c>
      <c r="AY112" s="95">
        <v>0.29480299999999998</v>
      </c>
      <c r="AZ112" s="101">
        <v>0.17507</v>
      </c>
      <c r="BA112" s="101" t="s">
        <v>105</v>
      </c>
      <c r="BB112" s="95"/>
      <c r="BC112" s="95"/>
      <c r="BD112" s="95"/>
      <c r="BE112" s="95"/>
      <c r="BF112" s="95"/>
      <c r="BG112" s="101"/>
      <c r="BH112" s="95">
        <v>0.33315400000000001</v>
      </c>
      <c r="BI112" s="101">
        <v>0.57711000000000001</v>
      </c>
      <c r="BJ112" s="95">
        <v>0.23746700000000001</v>
      </c>
      <c r="BK112" s="95">
        <v>0.34455599999999997</v>
      </c>
      <c r="BL112" s="95">
        <v>0.94658900000000001</v>
      </c>
      <c r="BM112" s="95">
        <v>1</v>
      </c>
      <c r="BN112" s="95">
        <v>0.82252700000000001</v>
      </c>
      <c r="BO112" s="101">
        <v>0.32255299999999998</v>
      </c>
      <c r="BP112" s="101">
        <v>0.48382999999999998</v>
      </c>
      <c r="BQ112" s="101">
        <v>0.41087499999999999</v>
      </c>
      <c r="BR112" s="101">
        <v>0.29723300000000002</v>
      </c>
      <c r="BS112" s="101">
        <v>0.34111599999999997</v>
      </c>
      <c r="BT112" s="95"/>
      <c r="BU112" s="95"/>
      <c r="BV112" s="97">
        <v>0.75</v>
      </c>
      <c r="BW112" s="97">
        <v>0.35167259294066056</v>
      </c>
      <c r="BX112" s="97"/>
      <c r="BY112" s="97">
        <v>1</v>
      </c>
      <c r="BZ112" s="96"/>
      <c r="CA112" s="97"/>
      <c r="CB112" s="97">
        <v>0.23746700000000001</v>
      </c>
      <c r="CC112" s="97">
        <v>0.34455599999999997</v>
      </c>
      <c r="CD112" s="97">
        <v>1</v>
      </c>
      <c r="CE112" s="97"/>
      <c r="CF112" s="97">
        <v>0.35919000000000001</v>
      </c>
      <c r="CG112" s="96"/>
      <c r="CH112" s="96"/>
      <c r="CI112" s="103"/>
      <c r="CJ112" s="103"/>
      <c r="CK112" s="101"/>
      <c r="CL112" s="96"/>
      <c r="CM112" s="101"/>
      <c r="CN112" s="101"/>
      <c r="CO112" s="103"/>
      <c r="CP112" s="103"/>
      <c r="CQ112" s="101"/>
      <c r="CR112" s="103"/>
      <c r="CS112" s="103"/>
      <c r="CT112" s="103"/>
      <c r="CU112" s="103"/>
      <c r="CV112" s="103"/>
      <c r="CW112" s="103"/>
      <c r="CX112" s="103"/>
      <c r="CY112" s="103"/>
      <c r="CZ112" s="103"/>
      <c r="DA112" s="103"/>
      <c r="DB112" s="103"/>
      <c r="DC112" s="103"/>
      <c r="DD112" s="103"/>
    </row>
    <row r="113" spans="1:108">
      <c r="A113" s="54">
        <v>101</v>
      </c>
      <c r="B113" s="95" t="s">
        <v>206</v>
      </c>
      <c r="C113" s="95"/>
      <c r="D113" s="96">
        <v>0.23056499999999999</v>
      </c>
      <c r="E113" s="96">
        <v>0.243398</v>
      </c>
      <c r="F113" s="95">
        <v>0.25298500000000002</v>
      </c>
      <c r="G113" s="95">
        <v>0.268237</v>
      </c>
      <c r="H113" s="95">
        <v>0.48721599999999998</v>
      </c>
      <c r="I113" s="95">
        <v>0.49686999999999998</v>
      </c>
      <c r="J113" s="95">
        <v>0.38243400000000005</v>
      </c>
      <c r="K113" s="95">
        <v>0.36514999999999997</v>
      </c>
      <c r="L113" s="95">
        <v>0.46331</v>
      </c>
      <c r="M113" s="95">
        <v>0.28125499999999998</v>
      </c>
      <c r="N113" s="95">
        <v>0.25595299999999999</v>
      </c>
      <c r="O113" s="95">
        <v>0.32359199999999999</v>
      </c>
      <c r="P113" s="95">
        <v>0.29211100000000001</v>
      </c>
      <c r="Q113" s="97">
        <v>0.34117999999999998</v>
      </c>
      <c r="R113" s="97">
        <v>0.34117999999999998</v>
      </c>
      <c r="S113" s="97">
        <v>0.27010000000000001</v>
      </c>
      <c r="T113" s="97">
        <v>0.27010000000000001</v>
      </c>
      <c r="U113" s="98">
        <v>0.28075630000000001</v>
      </c>
      <c r="V113" s="99">
        <v>0.28075630000000001</v>
      </c>
      <c r="W113" s="98">
        <v>0.19817950000000001</v>
      </c>
      <c r="X113" s="99">
        <v>0.28075630000000001</v>
      </c>
      <c r="Y113" s="100">
        <v>0.2660654905</v>
      </c>
      <c r="Z113" s="100">
        <v>0.34052390040000002</v>
      </c>
      <c r="AA113" s="100">
        <v>0.2246879252</v>
      </c>
      <c r="AB113" s="100">
        <v>0.33314520479999998</v>
      </c>
      <c r="AC113" s="95"/>
      <c r="AD113" s="95"/>
      <c r="AE113" s="95"/>
      <c r="AF113" s="95">
        <v>0.75079620000000002</v>
      </c>
      <c r="AG113" s="95">
        <v>0.66815000000000002</v>
      </c>
      <c r="AH113" s="95"/>
      <c r="AI113" s="95"/>
      <c r="AJ113" s="95">
        <v>0.52261999999999997</v>
      </c>
      <c r="AK113" s="95"/>
      <c r="AL113" s="95"/>
      <c r="AM113" s="97">
        <v>0.75283999999999995</v>
      </c>
      <c r="AN113" s="95">
        <v>0.36136099999999999</v>
      </c>
      <c r="AO113" s="95">
        <v>0.35245500000000002</v>
      </c>
      <c r="AP113" s="101">
        <v>0.32522499999999999</v>
      </c>
      <c r="AQ113" s="101">
        <v>0.36136099999999999</v>
      </c>
      <c r="AR113" s="101">
        <v>0.37898399999999999</v>
      </c>
      <c r="AS113" s="101">
        <v>0.341086</v>
      </c>
      <c r="AT113" s="101">
        <v>0.29662899999999998</v>
      </c>
      <c r="AU113" s="101">
        <v>0.33346100000000001</v>
      </c>
      <c r="AV113" s="95">
        <v>0.2195896</v>
      </c>
      <c r="AW113" s="95">
        <v>0.58253299999999997</v>
      </c>
      <c r="AX113" s="95">
        <v>0.4320717</v>
      </c>
      <c r="AY113" s="95">
        <v>0.30900599999999995</v>
      </c>
      <c r="AZ113" s="101">
        <v>0.18701300000000001</v>
      </c>
      <c r="BA113" s="101" t="s">
        <v>106</v>
      </c>
      <c r="BB113" s="95"/>
      <c r="BC113" s="95"/>
      <c r="BD113" s="95"/>
      <c r="BE113" s="95"/>
      <c r="BF113" s="95"/>
      <c r="BG113" s="101"/>
      <c r="BH113" s="95">
        <v>0.36515399999999998</v>
      </c>
      <c r="BI113" s="101">
        <v>0.61180999999999996</v>
      </c>
      <c r="BJ113" s="95">
        <v>0.244834</v>
      </c>
      <c r="BK113" s="95">
        <v>0.358628</v>
      </c>
      <c r="BL113" s="95">
        <v>0.99608300000000005</v>
      </c>
      <c r="BM113" s="95"/>
      <c r="BN113" s="95">
        <v>0.869923</v>
      </c>
      <c r="BO113" s="101">
        <v>0.34950500000000001</v>
      </c>
      <c r="BP113" s="101">
        <v>0.52430100000000002</v>
      </c>
      <c r="BQ113" s="101">
        <v>0.445768</v>
      </c>
      <c r="BR113" s="101">
        <v>0.31895600000000002</v>
      </c>
      <c r="BS113" s="101">
        <v>0.35855999999999999</v>
      </c>
      <c r="BT113" s="95"/>
      <c r="BU113" s="95"/>
      <c r="BV113" s="97">
        <v>0.75</v>
      </c>
      <c r="BW113" s="97">
        <v>0.3701154828142138</v>
      </c>
      <c r="BX113" s="97"/>
      <c r="BY113" s="97"/>
      <c r="BZ113" s="96"/>
      <c r="CA113" s="97"/>
      <c r="CB113" s="97">
        <v>0.244834</v>
      </c>
      <c r="CC113" s="97">
        <v>0.358628</v>
      </c>
      <c r="CD113" s="97"/>
      <c r="CE113" s="97"/>
      <c r="CF113" s="97">
        <v>0.40694000000000002</v>
      </c>
      <c r="CG113" s="96"/>
      <c r="CH113" s="96"/>
      <c r="CI113" s="103"/>
      <c r="CJ113" s="103"/>
      <c r="CK113" s="101"/>
      <c r="CL113" s="96"/>
      <c r="CM113" s="101"/>
      <c r="CN113" s="101"/>
      <c r="CO113" s="103"/>
      <c r="CP113" s="103"/>
      <c r="CQ113" s="101"/>
      <c r="CR113" s="103"/>
      <c r="CS113" s="103"/>
      <c r="CT113" s="103"/>
      <c r="CU113" s="103"/>
      <c r="CV113" s="103"/>
      <c r="CW113" s="103"/>
      <c r="CX113" s="103"/>
      <c r="CY113" s="103"/>
      <c r="CZ113" s="103"/>
      <c r="DA113" s="103"/>
      <c r="DB113" s="103"/>
      <c r="DC113" s="103"/>
      <c r="DD113" s="103"/>
    </row>
    <row r="114" spans="1:108">
      <c r="A114" s="54">
        <v>102</v>
      </c>
      <c r="B114" s="95" t="s">
        <v>206</v>
      </c>
      <c r="C114" s="95"/>
      <c r="D114" s="96">
        <v>0.248805</v>
      </c>
      <c r="E114" s="96">
        <v>0.26374500000000001</v>
      </c>
      <c r="F114" s="95">
        <v>0.27140599999999998</v>
      </c>
      <c r="G114" s="95">
        <v>0.28930499999999998</v>
      </c>
      <c r="H114" s="95">
        <v>0.52647699999999997</v>
      </c>
      <c r="I114" s="95">
        <v>0.531389</v>
      </c>
      <c r="J114" s="95">
        <v>0.42281000000000002</v>
      </c>
      <c r="K114" s="95">
        <v>0.38895600000000002</v>
      </c>
      <c r="L114" s="95">
        <v>0.49575999999999998</v>
      </c>
      <c r="M114" s="95">
        <v>0.300815</v>
      </c>
      <c r="N114" s="95">
        <v>0.27520099999999997</v>
      </c>
      <c r="O114" s="95">
        <v>0.34877999999999998</v>
      </c>
      <c r="P114" s="95">
        <v>0.315826</v>
      </c>
      <c r="Q114" s="97">
        <v>0.37357000000000001</v>
      </c>
      <c r="R114" s="97">
        <v>0.37357000000000001</v>
      </c>
      <c r="S114" s="97">
        <v>0.29621999999999998</v>
      </c>
      <c r="T114" s="97">
        <v>0.29621999999999998</v>
      </c>
      <c r="U114" s="98">
        <v>0.30358279999999999</v>
      </c>
      <c r="V114" s="99">
        <v>0.30358279999999999</v>
      </c>
      <c r="W114" s="98">
        <v>0.21900839999999999</v>
      </c>
      <c r="X114" s="99">
        <v>0.30358279999999999</v>
      </c>
      <c r="Y114" s="100">
        <v>0.29363152149999999</v>
      </c>
      <c r="Z114" s="100">
        <v>0.36936677740000001</v>
      </c>
      <c r="AA114" s="100">
        <v>0.25104173499999999</v>
      </c>
      <c r="AB114" s="100">
        <v>0.36786273060000002</v>
      </c>
      <c r="AC114" s="95"/>
      <c r="AD114" s="95"/>
      <c r="AE114" s="95"/>
      <c r="AF114" s="95">
        <v>1</v>
      </c>
      <c r="AG114" s="95">
        <v>1</v>
      </c>
      <c r="AH114" s="95"/>
      <c r="AI114" s="95"/>
      <c r="AJ114" s="95">
        <v>0.70855000000000001</v>
      </c>
      <c r="AK114" s="95"/>
      <c r="AL114" s="95"/>
      <c r="AM114" s="97">
        <v>0.75283999999999995</v>
      </c>
      <c r="AN114" s="95">
        <v>0.39416699999999999</v>
      </c>
      <c r="AO114" s="95">
        <v>0.37722</v>
      </c>
      <c r="AP114" s="101">
        <v>0.35889700000000002</v>
      </c>
      <c r="AQ114" s="101">
        <v>0.39877400000000002</v>
      </c>
      <c r="AR114" s="101">
        <v>0.405613</v>
      </c>
      <c r="AS114" s="101">
        <v>0.36505199999999999</v>
      </c>
      <c r="AT114" s="101">
        <v>0.31709300000000001</v>
      </c>
      <c r="AU114" s="101">
        <v>0.35032999999999997</v>
      </c>
      <c r="AV114" s="95">
        <v>0.2317253</v>
      </c>
      <c r="AW114" s="95">
        <v>0.61902599999999997</v>
      </c>
      <c r="AX114" s="95">
        <v>0.44963330000000001</v>
      </c>
      <c r="AY114" s="95">
        <v>0.32355800000000001</v>
      </c>
      <c r="AZ114" s="101">
        <v>0.19948299999999999</v>
      </c>
      <c r="BA114" s="101" t="s">
        <v>107</v>
      </c>
      <c r="BB114" s="95"/>
      <c r="BC114" s="95"/>
      <c r="BD114" s="95"/>
      <c r="BE114" s="95"/>
      <c r="BF114" s="95"/>
      <c r="BG114" s="101"/>
      <c r="BH114" s="95">
        <v>0.40262199999999998</v>
      </c>
      <c r="BI114" s="101">
        <v>0.64670000000000005</v>
      </c>
      <c r="BJ114" s="95">
        <v>0.254498</v>
      </c>
      <c r="BK114" s="95">
        <v>0.37168499999999999</v>
      </c>
      <c r="BL114" s="95">
        <v>1</v>
      </c>
      <c r="BM114" s="95"/>
      <c r="BN114" s="95">
        <v>0.91792499999999999</v>
      </c>
      <c r="BO114" s="101">
        <v>0.37886500000000001</v>
      </c>
      <c r="BP114" s="101">
        <v>0.56836500000000001</v>
      </c>
      <c r="BQ114" s="101">
        <v>0.48382999999999998</v>
      </c>
      <c r="BR114" s="101">
        <v>0.34095999999999999</v>
      </c>
      <c r="BS114" s="101">
        <v>0.37669900000000001</v>
      </c>
      <c r="BT114" s="95"/>
      <c r="BU114" s="95"/>
      <c r="BV114" s="97">
        <v>0.75</v>
      </c>
      <c r="BW114" s="97">
        <v>0.38925574884224512</v>
      </c>
      <c r="BX114" s="97"/>
      <c r="BY114" s="97"/>
      <c r="BZ114" s="96"/>
      <c r="CA114" s="97"/>
      <c r="CB114" s="97">
        <v>0.254498</v>
      </c>
      <c r="CC114" s="97">
        <v>0.37168499999999999</v>
      </c>
      <c r="CD114" s="97"/>
      <c r="CE114" s="97"/>
      <c r="CF114" s="97">
        <v>0.46409</v>
      </c>
      <c r="CG114" s="96"/>
      <c r="CH114" s="96"/>
      <c r="CI114" s="103"/>
      <c r="CJ114" s="103"/>
      <c r="CK114" s="101"/>
      <c r="CL114" s="96"/>
      <c r="CM114" s="101"/>
      <c r="CN114" s="101"/>
      <c r="CO114" s="103"/>
      <c r="CP114" s="103"/>
      <c r="CQ114" s="101"/>
      <c r="CR114" s="103"/>
      <c r="CS114" s="103"/>
      <c r="CT114" s="103"/>
      <c r="CU114" s="103"/>
      <c r="CV114" s="103"/>
      <c r="CW114" s="103"/>
      <c r="CX114" s="103"/>
      <c r="CY114" s="103"/>
      <c r="CZ114" s="103"/>
      <c r="DA114" s="103"/>
      <c r="DB114" s="103"/>
      <c r="DC114" s="103"/>
      <c r="DD114" s="103"/>
    </row>
    <row r="115" spans="1:108">
      <c r="A115" s="54">
        <v>103</v>
      </c>
      <c r="B115" s="95" t="s">
        <v>206</v>
      </c>
      <c r="C115" s="95"/>
      <c r="D115" s="96">
        <v>0.27032600000000001</v>
      </c>
      <c r="E115" s="96">
        <v>0.28733399999999998</v>
      </c>
      <c r="F115" s="95">
        <v>0.29289300000000001</v>
      </c>
      <c r="G115" s="95">
        <v>0.31339099999999998</v>
      </c>
      <c r="H115" s="95">
        <v>0.56687200000000004</v>
      </c>
      <c r="I115" s="95">
        <v>0.56675699999999996</v>
      </c>
      <c r="J115" s="95">
        <v>0.52403999999999995</v>
      </c>
      <c r="K115" s="95">
        <v>0.43980599999999997</v>
      </c>
      <c r="L115" s="95">
        <v>0.56169000000000002</v>
      </c>
      <c r="M115" s="95">
        <v>0.323185</v>
      </c>
      <c r="N115" s="95">
        <v>0.29749999999999999</v>
      </c>
      <c r="O115" s="95">
        <v>0.376529</v>
      </c>
      <c r="P115" s="95">
        <v>0.34237699999999999</v>
      </c>
      <c r="Q115" s="97">
        <v>0.40904000000000001</v>
      </c>
      <c r="R115" s="97">
        <v>0.40904000000000001</v>
      </c>
      <c r="S115" s="97">
        <v>0.32488</v>
      </c>
      <c r="T115" s="97">
        <v>0.32488</v>
      </c>
      <c r="U115" s="98">
        <v>0.32826509999999998</v>
      </c>
      <c r="V115" s="99">
        <v>0.32826509999999998</v>
      </c>
      <c r="W115" s="98">
        <v>0.2420264</v>
      </c>
      <c r="X115" s="99">
        <v>0.32826509999999998</v>
      </c>
      <c r="Y115" s="100">
        <v>0.32416735549999998</v>
      </c>
      <c r="Z115" s="100">
        <v>0.4062675254</v>
      </c>
      <c r="AA115" s="100">
        <v>0.28095247439999999</v>
      </c>
      <c r="AB115" s="100">
        <v>0.4062675254</v>
      </c>
      <c r="AC115" s="95"/>
      <c r="AD115" s="95"/>
      <c r="AE115" s="95"/>
      <c r="AF115" s="95"/>
      <c r="AG115" s="95"/>
      <c r="AH115" s="95"/>
      <c r="AI115" s="95"/>
      <c r="AJ115" s="95">
        <v>1</v>
      </c>
      <c r="AK115" s="95"/>
      <c r="AL115" s="95"/>
      <c r="AM115" s="97">
        <v>0.75283999999999995</v>
      </c>
      <c r="AN115" s="95">
        <v>0.43036600000000003</v>
      </c>
      <c r="AO115" s="95">
        <v>0.40620499999999998</v>
      </c>
      <c r="AP115" s="101">
        <v>0.395843</v>
      </c>
      <c r="AQ115" s="101">
        <v>0.43982500000000002</v>
      </c>
      <c r="AR115" s="101">
        <v>0.43678</v>
      </c>
      <c r="AS115" s="101">
        <v>0.39310200000000001</v>
      </c>
      <c r="AT115" s="101">
        <v>0.338505</v>
      </c>
      <c r="AU115" s="101">
        <v>0.36854199999999998</v>
      </c>
      <c r="AV115" s="95">
        <v>0.244258</v>
      </c>
      <c r="AW115" s="95">
        <v>0.69442700000000002</v>
      </c>
      <c r="AX115" s="95">
        <v>0.48337160000000001</v>
      </c>
      <c r="AY115" s="95">
        <v>0.33845999999999998</v>
      </c>
      <c r="AZ115" s="101">
        <v>0.212481</v>
      </c>
      <c r="BA115" s="101" t="s">
        <v>108</v>
      </c>
      <c r="BB115" s="95"/>
      <c r="BC115" s="95"/>
      <c r="BD115" s="95"/>
      <c r="BE115" s="95"/>
      <c r="BF115" s="95"/>
      <c r="BG115" s="101"/>
      <c r="BH115" s="95">
        <v>0.44647900000000001</v>
      </c>
      <c r="BI115" s="101">
        <v>0.68147000000000002</v>
      </c>
      <c r="BJ115" s="95">
        <v>0.266044</v>
      </c>
      <c r="BK115" s="95">
        <v>0.38303999999999999</v>
      </c>
      <c r="BL115" s="95"/>
      <c r="BM115" s="95"/>
      <c r="BN115" s="95">
        <v>1</v>
      </c>
      <c r="BO115" s="101">
        <v>0.41087499999999999</v>
      </c>
      <c r="BP115" s="101">
        <v>0.61638199999999999</v>
      </c>
      <c r="BQ115" s="101">
        <v>0.52430100000000002</v>
      </c>
      <c r="BR115" s="101">
        <v>0.36458600000000002</v>
      </c>
      <c r="BS115" s="101">
        <v>0.39688400000000001</v>
      </c>
      <c r="BT115" s="95"/>
      <c r="BU115" s="95"/>
      <c r="BV115" s="97">
        <v>0.75</v>
      </c>
      <c r="BW115" s="97">
        <v>0.40907606290018717</v>
      </c>
      <c r="BX115" s="97"/>
      <c r="BY115" s="97"/>
      <c r="BZ115" s="96"/>
      <c r="CA115" s="97"/>
      <c r="CB115" s="97">
        <v>0.266044</v>
      </c>
      <c r="CC115" s="97">
        <v>0.38303999999999999</v>
      </c>
      <c r="CD115" s="97"/>
      <c r="CE115" s="97"/>
      <c r="CF115" s="97">
        <v>0.53203999999999996</v>
      </c>
      <c r="CG115" s="96"/>
      <c r="CH115" s="96"/>
      <c r="CI115" s="103"/>
      <c r="CJ115" s="103"/>
      <c r="CK115" s="101"/>
      <c r="CL115" s="96"/>
      <c r="CM115" s="101"/>
      <c r="CN115" s="101"/>
      <c r="CO115" s="103"/>
      <c r="CP115" s="103"/>
      <c r="CQ115" s="101"/>
      <c r="CR115" s="103"/>
      <c r="CS115" s="103"/>
      <c r="CT115" s="103"/>
      <c r="CU115" s="103"/>
      <c r="CV115" s="103"/>
      <c r="CW115" s="103"/>
      <c r="CX115" s="103"/>
      <c r="CY115" s="103"/>
      <c r="CZ115" s="103"/>
      <c r="DA115" s="103"/>
      <c r="DB115" s="103"/>
      <c r="DC115" s="103"/>
      <c r="DD115" s="103"/>
    </row>
    <row r="116" spans="1:108">
      <c r="A116" s="54">
        <v>104</v>
      </c>
      <c r="B116" s="95" t="s">
        <v>206</v>
      </c>
      <c r="C116" s="95"/>
      <c r="D116" s="96">
        <v>0.29571900000000001</v>
      </c>
      <c r="E116" s="96">
        <v>0.31464900000000001</v>
      </c>
      <c r="F116" s="95">
        <v>0.318023</v>
      </c>
      <c r="G116" s="95">
        <v>0.34094000000000002</v>
      </c>
      <c r="H116" s="95">
        <v>0.60801700000000003</v>
      </c>
      <c r="I116" s="95">
        <v>0.60271399999999997</v>
      </c>
      <c r="J116" s="95">
        <v>0.59111599999999997</v>
      </c>
      <c r="K116" s="95">
        <v>0.46688099999999999</v>
      </c>
      <c r="L116" s="95">
        <v>0.59487999999999996</v>
      </c>
      <c r="M116" s="95">
        <v>0.348885</v>
      </c>
      <c r="N116" s="95">
        <v>0.32339000000000001</v>
      </c>
      <c r="O116" s="95">
        <v>0.40708800000000001</v>
      </c>
      <c r="P116" s="95">
        <v>0.37208599999999997</v>
      </c>
      <c r="Q116" s="97">
        <v>0.44788</v>
      </c>
      <c r="R116" s="97">
        <v>0.44788</v>
      </c>
      <c r="S116" s="97">
        <v>0.35632000000000003</v>
      </c>
      <c r="T116" s="97">
        <v>0.35632000000000003</v>
      </c>
      <c r="U116" s="98">
        <v>0.3549543</v>
      </c>
      <c r="V116" s="99">
        <v>0.3549543</v>
      </c>
      <c r="W116" s="98">
        <v>0.26746370000000003</v>
      </c>
      <c r="X116" s="99">
        <v>0.3549543</v>
      </c>
      <c r="Y116" s="100">
        <v>0.35797888020000002</v>
      </c>
      <c r="Z116" s="100">
        <v>0.44863139480000003</v>
      </c>
      <c r="AA116" s="100">
        <v>0.31500740119999998</v>
      </c>
      <c r="AB116" s="100">
        <v>0.44863139480000003</v>
      </c>
      <c r="AC116" s="95"/>
      <c r="AD116" s="95"/>
      <c r="AE116" s="95"/>
      <c r="AF116" s="95"/>
      <c r="AG116" s="95"/>
      <c r="AH116" s="95"/>
      <c r="AI116" s="95"/>
      <c r="AJ116" s="95"/>
      <c r="AK116" s="95"/>
      <c r="AL116" s="95"/>
      <c r="AM116" s="97">
        <v>0.75283999999999995</v>
      </c>
      <c r="AN116" s="95">
        <v>0.471522</v>
      </c>
      <c r="AO116" s="95">
        <v>0.44149699999999997</v>
      </c>
      <c r="AP116" s="101">
        <v>0.43836000000000003</v>
      </c>
      <c r="AQ116" s="101">
        <v>0.48706700000000003</v>
      </c>
      <c r="AR116" s="101">
        <v>0.47472799999999998</v>
      </c>
      <c r="AS116" s="101">
        <v>0.427255</v>
      </c>
      <c r="AT116" s="101">
        <v>0.361016</v>
      </c>
      <c r="AU116" s="101">
        <v>0.38785500000000001</v>
      </c>
      <c r="AV116" s="95">
        <v>0.25719229999999998</v>
      </c>
      <c r="AW116" s="95">
        <v>0.73302800000000001</v>
      </c>
      <c r="AX116" s="95">
        <v>0.4994171</v>
      </c>
      <c r="AY116" s="95">
        <v>0.35371199999999997</v>
      </c>
      <c r="AZ116" s="101">
        <v>0.22600799999999999</v>
      </c>
      <c r="BA116" s="101" t="s">
        <v>109</v>
      </c>
      <c r="BB116" s="95"/>
      <c r="BC116" s="95"/>
      <c r="BD116" s="95"/>
      <c r="BE116" s="95"/>
      <c r="BF116" s="95"/>
      <c r="BG116" s="101"/>
      <c r="BH116" s="95">
        <v>0.49709399999999998</v>
      </c>
      <c r="BI116" s="101">
        <v>0.71577999999999997</v>
      </c>
      <c r="BJ116" s="95">
        <v>0.279055</v>
      </c>
      <c r="BK116" s="95">
        <v>0.39200299999999999</v>
      </c>
      <c r="BL116" s="95"/>
      <c r="BM116" s="95"/>
      <c r="BN116" s="95"/>
      <c r="BO116" s="101">
        <v>0.445768</v>
      </c>
      <c r="BP116" s="101">
        <v>0.66869599999999996</v>
      </c>
      <c r="BQ116" s="101">
        <v>0.56836500000000001</v>
      </c>
      <c r="BR116" s="101">
        <v>0.38999600000000001</v>
      </c>
      <c r="BS116" s="101">
        <v>0.41885499999999998</v>
      </c>
      <c r="BT116" s="95"/>
      <c r="BU116" s="95"/>
      <c r="BV116" s="97">
        <v>0.75</v>
      </c>
      <c r="BW116" s="97">
        <v>0.4295528646917588</v>
      </c>
      <c r="BX116" s="97"/>
      <c r="BY116" s="97"/>
      <c r="BZ116" s="96"/>
      <c r="CA116" s="97"/>
      <c r="CB116" s="97">
        <v>0.279055</v>
      </c>
      <c r="CC116" s="97">
        <v>0.39200299999999999</v>
      </c>
      <c r="CD116" s="97"/>
      <c r="CE116" s="97"/>
      <c r="CF116" s="97">
        <v>0.61229</v>
      </c>
      <c r="CG116" s="96"/>
      <c r="CH116" s="96"/>
      <c r="CI116" s="103"/>
      <c r="CJ116" s="103"/>
      <c r="CK116" s="101"/>
      <c r="CL116" s="96"/>
      <c r="CM116" s="101"/>
      <c r="CN116" s="101"/>
      <c r="CO116" s="103"/>
      <c r="CP116" s="103"/>
      <c r="CQ116" s="101"/>
      <c r="CR116" s="103"/>
      <c r="CS116" s="103"/>
      <c r="CT116" s="103"/>
      <c r="CU116" s="103"/>
      <c r="CV116" s="103"/>
      <c r="CW116" s="103"/>
      <c r="CX116" s="103"/>
      <c r="CY116" s="103"/>
      <c r="CZ116" s="103"/>
      <c r="DA116" s="103"/>
      <c r="DB116" s="103"/>
      <c r="DC116" s="103"/>
      <c r="DD116" s="103"/>
    </row>
    <row r="117" spans="1:108">
      <c r="A117" s="54">
        <v>105</v>
      </c>
      <c r="B117" s="95" t="s">
        <v>206</v>
      </c>
      <c r="C117" s="95"/>
      <c r="D117" s="96">
        <v>0.32557599999999998</v>
      </c>
      <c r="E117" s="96">
        <v>0.34617700000000001</v>
      </c>
      <c r="F117" s="95">
        <v>0.34737299999999999</v>
      </c>
      <c r="G117" s="95">
        <v>0.37239800000000001</v>
      </c>
      <c r="H117" s="95">
        <v>0.64945900000000001</v>
      </c>
      <c r="I117" s="95">
        <v>0.63895599999999997</v>
      </c>
      <c r="J117" s="95">
        <v>0.6703579999999999</v>
      </c>
      <c r="K117" s="95">
        <v>0.49507600000000002</v>
      </c>
      <c r="L117" s="95">
        <v>0.62802000000000002</v>
      </c>
      <c r="M117" s="95">
        <v>0.37843399999999999</v>
      </c>
      <c r="N117" s="95">
        <v>0.35341400000000001</v>
      </c>
      <c r="O117" s="95">
        <v>0.44070700000000002</v>
      </c>
      <c r="P117" s="95">
        <v>0.40527800000000003</v>
      </c>
      <c r="Q117" s="97">
        <v>0.49042000000000002</v>
      </c>
      <c r="R117" s="97">
        <v>0.49042000000000002</v>
      </c>
      <c r="S117" s="97">
        <v>0.39079999999999998</v>
      </c>
      <c r="T117" s="97">
        <v>0.39079999999999998</v>
      </c>
      <c r="U117" s="98">
        <v>0.38381330000000002</v>
      </c>
      <c r="V117" s="99">
        <v>0.38381330000000002</v>
      </c>
      <c r="W117" s="98">
        <v>0.29557440000000001</v>
      </c>
      <c r="X117" s="99">
        <v>0.38381330000000002</v>
      </c>
      <c r="Y117" s="100">
        <v>0.3954921207</v>
      </c>
      <c r="Z117" s="100">
        <v>0.49519934290000001</v>
      </c>
      <c r="AA117" s="100">
        <v>0.35389387570000003</v>
      </c>
      <c r="AB117" s="100">
        <v>0.49519934290000001</v>
      </c>
      <c r="AC117" s="95"/>
      <c r="AD117" s="95"/>
      <c r="AE117" s="95"/>
      <c r="AF117" s="95"/>
      <c r="AG117" s="95"/>
      <c r="AH117" s="95"/>
      <c r="AI117" s="95"/>
      <c r="AJ117" s="95"/>
      <c r="AK117" s="95"/>
      <c r="AL117" s="95"/>
      <c r="AM117" s="97">
        <v>0.75283999999999995</v>
      </c>
      <c r="AN117" s="95">
        <v>0.51919599999999999</v>
      </c>
      <c r="AO117" s="95">
        <v>0.485182</v>
      </c>
      <c r="AP117" s="101">
        <v>0.48781600000000003</v>
      </c>
      <c r="AQ117" s="101">
        <v>0.542018</v>
      </c>
      <c r="AR117" s="101">
        <v>0.52170099999999997</v>
      </c>
      <c r="AS117" s="101">
        <v>0.46953099999999998</v>
      </c>
      <c r="AT117" s="101">
        <v>0.38359700000000002</v>
      </c>
      <c r="AU117" s="101">
        <v>0.40722399999999997</v>
      </c>
      <c r="AV117" s="95">
        <v>0.27053319999999997</v>
      </c>
      <c r="AW117" s="95">
        <v>0.77200500000000005</v>
      </c>
      <c r="AX117" s="95">
        <v>0.51484209999999997</v>
      </c>
      <c r="AY117" s="95">
        <v>0.369313</v>
      </c>
      <c r="AZ117" s="101">
        <v>0.240062</v>
      </c>
      <c r="BA117" s="101" t="s">
        <v>110</v>
      </c>
      <c r="BB117" s="95"/>
      <c r="BC117" s="95"/>
      <c r="BD117" s="95"/>
      <c r="BE117" s="95"/>
      <c r="BF117" s="95"/>
      <c r="BG117" s="101"/>
      <c r="BH117" s="95">
        <v>0.55757800000000002</v>
      </c>
      <c r="BI117" s="101">
        <v>0.74926999999999999</v>
      </c>
      <c r="BJ117" s="95">
        <v>0.29311599999999999</v>
      </c>
      <c r="BK117" s="95">
        <v>0.39788600000000002</v>
      </c>
      <c r="BL117" s="95"/>
      <c r="BM117" s="95"/>
      <c r="BN117" s="95"/>
      <c r="BO117" s="101">
        <v>0.48382999999999998</v>
      </c>
      <c r="BP117" s="101">
        <v>0.72574499999999997</v>
      </c>
      <c r="BQ117" s="101">
        <v>0.61638199999999999</v>
      </c>
      <c r="BR117" s="101">
        <v>0.41517999999999999</v>
      </c>
      <c r="BS117" s="101">
        <v>0.440585</v>
      </c>
      <c r="BT117" s="95"/>
      <c r="BU117" s="95"/>
      <c r="BV117" s="97">
        <v>0.75</v>
      </c>
      <c r="BW117" s="97">
        <v>0.45065583809793841</v>
      </c>
      <c r="BX117" s="97"/>
      <c r="BY117" s="97"/>
      <c r="BZ117" s="96"/>
      <c r="CA117" s="97"/>
      <c r="CB117" s="97">
        <v>0.29311599999999999</v>
      </c>
      <c r="CC117" s="97">
        <v>0.39788600000000002</v>
      </c>
      <c r="CD117" s="97"/>
      <c r="CE117" s="97"/>
      <c r="CF117" s="97">
        <v>0.70640000000000003</v>
      </c>
      <c r="CG117" s="96"/>
      <c r="CH117" s="96"/>
      <c r="CI117" s="103"/>
      <c r="CJ117" s="103"/>
      <c r="CK117" s="101"/>
      <c r="CL117" s="96"/>
      <c r="CM117" s="101"/>
      <c r="CN117" s="101"/>
      <c r="CO117" s="103"/>
      <c r="CP117" s="103"/>
      <c r="CQ117" s="101"/>
      <c r="CR117" s="103"/>
      <c r="CS117" s="103"/>
      <c r="CT117" s="103"/>
      <c r="CU117" s="103"/>
      <c r="CV117" s="103"/>
      <c r="CW117" s="103"/>
      <c r="CX117" s="103"/>
      <c r="CY117" s="103"/>
      <c r="CZ117" s="103"/>
      <c r="DA117" s="103"/>
      <c r="DB117" s="103"/>
      <c r="DC117" s="103"/>
      <c r="DD117" s="103"/>
    </row>
    <row r="118" spans="1:108">
      <c r="A118" s="54">
        <v>106</v>
      </c>
      <c r="B118" s="95" t="s">
        <v>206</v>
      </c>
      <c r="C118" s="95"/>
      <c r="D118" s="96">
        <v>0.36049100000000001</v>
      </c>
      <c r="E118" s="96">
        <v>0.38240299999999999</v>
      </c>
      <c r="F118" s="95">
        <v>0.38152000000000003</v>
      </c>
      <c r="G118" s="95">
        <v>0.40821000000000002</v>
      </c>
      <c r="H118" s="95">
        <v>0.69067400000000001</v>
      </c>
      <c r="I118" s="95">
        <v>0.67514300000000005</v>
      </c>
      <c r="J118" s="95">
        <v>0.77552500000000002</v>
      </c>
      <c r="K118" s="95">
        <v>0.52440599999999993</v>
      </c>
      <c r="L118" s="95">
        <v>0.66095000000000004</v>
      </c>
      <c r="M118" s="95">
        <v>0.412352</v>
      </c>
      <c r="N118" s="95">
        <v>0.38811099999999998</v>
      </c>
      <c r="O118" s="95">
        <v>0.477634</v>
      </c>
      <c r="P118" s="95">
        <v>0.44227699999999998</v>
      </c>
      <c r="Q118" s="97">
        <v>0.53700000000000003</v>
      </c>
      <c r="R118" s="97">
        <v>0.53700000000000003</v>
      </c>
      <c r="S118" s="97">
        <v>0.42862</v>
      </c>
      <c r="T118" s="97">
        <v>0.42862</v>
      </c>
      <c r="U118" s="98">
        <v>0.41501870000000002</v>
      </c>
      <c r="V118" s="99">
        <v>0.41501870000000002</v>
      </c>
      <c r="W118" s="98">
        <v>0.32663959999999997</v>
      </c>
      <c r="X118" s="99">
        <v>0.41501870000000002</v>
      </c>
      <c r="Y118" s="100">
        <v>0.43697819030000001</v>
      </c>
      <c r="Z118" s="100">
        <v>0.54616252160000001</v>
      </c>
      <c r="AA118" s="100">
        <v>0.39840328330000002</v>
      </c>
      <c r="AB118" s="100">
        <v>0.54616252160000001</v>
      </c>
      <c r="AC118" s="95"/>
      <c r="AD118" s="95"/>
      <c r="AE118" s="95"/>
      <c r="AF118" s="95"/>
      <c r="AG118" s="95"/>
      <c r="AH118" s="95"/>
      <c r="AI118" s="95"/>
      <c r="AJ118" s="95"/>
      <c r="AK118" s="95"/>
      <c r="AL118" s="95"/>
      <c r="AM118" s="97">
        <v>0.75283999999999995</v>
      </c>
      <c r="AN118" s="95">
        <v>0.57494999999999996</v>
      </c>
      <c r="AO118" s="95">
        <v>0.53934300000000002</v>
      </c>
      <c r="AP118" s="101">
        <v>0.54588599999999998</v>
      </c>
      <c r="AQ118" s="101">
        <v>0.60653999999999997</v>
      </c>
      <c r="AR118" s="101">
        <v>0.57993899999999998</v>
      </c>
      <c r="AS118" s="101">
        <v>0.52194499999999999</v>
      </c>
      <c r="AT118" s="101">
        <v>0.40521699999999999</v>
      </c>
      <c r="AU118" s="101">
        <v>0.42559900000000001</v>
      </c>
      <c r="AV118" s="95">
        <v>0.28428530000000002</v>
      </c>
      <c r="AW118" s="95"/>
      <c r="AX118" s="95">
        <v>0.52960589999999996</v>
      </c>
      <c r="AY118" s="95">
        <v>0.385264</v>
      </c>
      <c r="AZ118" s="101">
        <v>0.25464399999999998</v>
      </c>
      <c r="BA118" s="101" t="s">
        <v>111</v>
      </c>
      <c r="BB118" s="95"/>
      <c r="BC118" s="95"/>
      <c r="BD118" s="95"/>
      <c r="BE118" s="95"/>
      <c r="BF118" s="95"/>
      <c r="BG118" s="101"/>
      <c r="BH118" s="95">
        <v>0.63073699999999999</v>
      </c>
      <c r="BI118" s="101"/>
      <c r="BJ118" s="95">
        <v>0.307811</v>
      </c>
      <c r="BK118" s="95">
        <v>0.4</v>
      </c>
      <c r="BL118" s="95"/>
      <c r="BM118" s="95"/>
      <c r="BN118" s="95"/>
      <c r="BO118" s="101">
        <v>0.52430100000000002</v>
      </c>
      <c r="BP118" s="101">
        <v>0.78649500000000006</v>
      </c>
      <c r="BQ118" s="101">
        <v>0.66869599999999996</v>
      </c>
      <c r="BR118" s="101">
        <v>0.43812600000000002</v>
      </c>
      <c r="BS118" s="101">
        <v>0.46004299999999998</v>
      </c>
      <c r="BT118" s="95"/>
      <c r="BU118" s="95"/>
      <c r="BV118" s="97">
        <v>0.75</v>
      </c>
      <c r="BW118" s="97">
        <v>1</v>
      </c>
      <c r="BX118" s="97"/>
      <c r="BY118" s="97"/>
      <c r="BZ118" s="96"/>
      <c r="CA118" s="97"/>
      <c r="CB118" s="97">
        <v>0.307811</v>
      </c>
      <c r="CC118" s="97">
        <v>0.4</v>
      </c>
      <c r="CD118" s="97"/>
      <c r="CE118" s="97"/>
      <c r="CF118" s="97">
        <v>0.81618999999999997</v>
      </c>
      <c r="CG118" s="96"/>
      <c r="CH118" s="96"/>
      <c r="CI118" s="103"/>
      <c r="CJ118" s="103"/>
      <c r="CK118" s="101"/>
      <c r="CL118" s="96"/>
      <c r="CM118" s="101"/>
      <c r="CN118" s="101"/>
      <c r="CO118" s="103"/>
      <c r="CP118" s="103"/>
      <c r="CQ118" s="101"/>
      <c r="CR118" s="103"/>
      <c r="CS118" s="103"/>
      <c r="CT118" s="103"/>
      <c r="CU118" s="103"/>
      <c r="CV118" s="103"/>
      <c r="CW118" s="103"/>
      <c r="CX118" s="103"/>
      <c r="CY118" s="103"/>
      <c r="CZ118" s="103"/>
      <c r="DA118" s="103"/>
      <c r="DB118" s="103"/>
      <c r="DC118" s="103"/>
      <c r="DD118" s="103"/>
    </row>
    <row r="119" spans="1:108">
      <c r="A119" s="54">
        <v>107</v>
      </c>
      <c r="B119" s="95" t="s">
        <v>206</v>
      </c>
      <c r="C119" s="95"/>
      <c r="D119" s="96">
        <v>0.40105400000000002</v>
      </c>
      <c r="E119" s="96">
        <v>0.423813</v>
      </c>
      <c r="F119" s="95">
        <v>0.42104200000000003</v>
      </c>
      <c r="G119" s="95">
        <v>0.44882300000000003</v>
      </c>
      <c r="H119" s="95">
        <v>0.73109199999999996</v>
      </c>
      <c r="I119" s="95">
        <v>0.71089800000000003</v>
      </c>
      <c r="J119" s="95">
        <v>0.83333299999999999</v>
      </c>
      <c r="K119" s="95">
        <v>0.55488599999999999</v>
      </c>
      <c r="L119" s="95">
        <v>0.69350000000000001</v>
      </c>
      <c r="M119" s="95">
        <v>0.45116000000000001</v>
      </c>
      <c r="N119" s="95">
        <v>0.42802299999999999</v>
      </c>
      <c r="O119" s="95">
        <v>0.51812000000000002</v>
      </c>
      <c r="P119" s="95">
        <v>0.483406</v>
      </c>
      <c r="Q119" s="97">
        <v>0.58801000000000003</v>
      </c>
      <c r="R119" s="97">
        <v>0.58801000000000003</v>
      </c>
      <c r="S119" s="97">
        <v>0.47010999999999997</v>
      </c>
      <c r="T119" s="97">
        <v>0.47010999999999997</v>
      </c>
      <c r="U119" s="98">
        <v>0.44876110000000002</v>
      </c>
      <c r="V119" s="99">
        <v>0.44876110000000002</v>
      </c>
      <c r="W119" s="98">
        <v>0.36096980000000001</v>
      </c>
      <c r="X119" s="99">
        <v>0.44876110000000002</v>
      </c>
      <c r="Y119" s="100">
        <v>0.4828689008</v>
      </c>
      <c r="Z119" s="100">
        <v>0.60169060409999997</v>
      </c>
      <c r="AA119" s="100">
        <v>0.44940334459999998</v>
      </c>
      <c r="AB119" s="100">
        <v>0.60169060409999997</v>
      </c>
      <c r="AC119" s="95"/>
      <c r="AD119" s="95"/>
      <c r="AE119" s="95"/>
      <c r="AF119" s="95"/>
      <c r="AG119" s="95"/>
      <c r="AH119" s="95"/>
      <c r="AI119" s="95"/>
      <c r="AJ119" s="95"/>
      <c r="AK119" s="95"/>
      <c r="AL119" s="95"/>
      <c r="AM119" s="97">
        <v>0.75283999999999995</v>
      </c>
      <c r="AN119" s="95">
        <v>0.64034500000000005</v>
      </c>
      <c r="AO119" s="95">
        <v>0.60606899999999997</v>
      </c>
      <c r="AP119" s="101">
        <v>0.61430899999999999</v>
      </c>
      <c r="AQ119" s="101">
        <v>0.68256600000000001</v>
      </c>
      <c r="AR119" s="101">
        <v>0.65168700000000002</v>
      </c>
      <c r="AS119" s="101">
        <v>0.58651799999999998</v>
      </c>
      <c r="AT119" s="101">
        <v>0.424846</v>
      </c>
      <c r="AU119" s="101">
        <v>0.44193500000000002</v>
      </c>
      <c r="AV119" s="95">
        <v>0.29845349999999998</v>
      </c>
      <c r="AW119" s="95"/>
      <c r="AX119" s="95">
        <v>0.54367739999999998</v>
      </c>
      <c r="AY119" s="95">
        <v>0.40156599999999998</v>
      </c>
      <c r="AZ119" s="101">
        <v>0.26975300000000002</v>
      </c>
      <c r="BA119" s="101" t="s">
        <v>112</v>
      </c>
      <c r="BB119" s="95"/>
      <c r="BC119" s="95"/>
      <c r="BD119" s="95"/>
      <c r="BE119" s="95"/>
      <c r="BF119" s="95"/>
      <c r="BG119" s="101"/>
      <c r="BH119" s="95">
        <v>0.72294199999999997</v>
      </c>
      <c r="BI119" s="101"/>
      <c r="BJ119" s="95">
        <v>0.32272499999999998</v>
      </c>
      <c r="BK119" s="95">
        <v>0.4</v>
      </c>
      <c r="BL119" s="95"/>
      <c r="BM119" s="95"/>
      <c r="BN119" s="95"/>
      <c r="BO119" s="101">
        <v>0.56836500000000001</v>
      </c>
      <c r="BP119" s="101">
        <v>0.85265899999999994</v>
      </c>
      <c r="BQ119" s="101">
        <v>0.72574499999999997</v>
      </c>
      <c r="BR119" s="101">
        <v>0.45682400000000001</v>
      </c>
      <c r="BS119" s="101">
        <v>0.47520000000000001</v>
      </c>
      <c r="BT119" s="95"/>
      <c r="BU119" s="95"/>
      <c r="BV119" s="97">
        <v>0.75</v>
      </c>
      <c r="BW119" s="97">
        <v>1</v>
      </c>
      <c r="BX119" s="97"/>
      <c r="BY119" s="97"/>
      <c r="BZ119" s="96"/>
      <c r="CA119" s="97"/>
      <c r="CB119" s="97">
        <v>0.32272499999999998</v>
      </c>
      <c r="CC119" s="97">
        <v>0.4</v>
      </c>
      <c r="CD119" s="97"/>
      <c r="CE119" s="97"/>
      <c r="CF119" s="97">
        <v>0.94333999999999996</v>
      </c>
      <c r="CG119" s="96"/>
      <c r="CH119" s="96"/>
      <c r="CI119" s="103"/>
      <c r="CJ119" s="103"/>
      <c r="CK119" s="101"/>
      <c r="CL119" s="96"/>
      <c r="CM119" s="101"/>
      <c r="CN119" s="101"/>
      <c r="CO119" s="103"/>
      <c r="CP119" s="103"/>
      <c r="CQ119" s="101"/>
      <c r="CR119" s="103"/>
      <c r="CS119" s="103"/>
      <c r="CT119" s="103"/>
      <c r="CU119" s="103"/>
      <c r="CV119" s="103"/>
      <c r="CW119" s="103"/>
      <c r="CX119" s="103"/>
      <c r="CY119" s="103"/>
      <c r="CZ119" s="103"/>
      <c r="DA119" s="103"/>
      <c r="DB119" s="103"/>
      <c r="DC119" s="103"/>
      <c r="DD119" s="103"/>
    </row>
    <row r="120" spans="1:108">
      <c r="A120" s="54">
        <v>108</v>
      </c>
      <c r="B120" s="95" t="s">
        <v>206</v>
      </c>
      <c r="C120" s="95"/>
      <c r="D120" s="96">
        <v>0.44785999999999998</v>
      </c>
      <c r="E120" s="96">
        <v>0.47089300000000001</v>
      </c>
      <c r="F120" s="95">
        <v>0.46651599999999999</v>
      </c>
      <c r="G120" s="95">
        <v>0.49468099999999998</v>
      </c>
      <c r="H120" s="95">
        <v>0.77010500000000004</v>
      </c>
      <c r="I120" s="95">
        <v>0.74582199999999998</v>
      </c>
      <c r="J120" s="95">
        <v>1</v>
      </c>
      <c r="K120" s="95">
        <v>0.58755400000000002</v>
      </c>
      <c r="L120" s="95">
        <v>0.72552000000000005</v>
      </c>
      <c r="M120" s="95">
        <v>0.49537599999999998</v>
      </c>
      <c r="N120" s="95">
        <v>0.473692</v>
      </c>
      <c r="O120" s="95">
        <v>0.56241200000000002</v>
      </c>
      <c r="P120" s="95">
        <v>0.52898900000000004</v>
      </c>
      <c r="Q120" s="97">
        <v>0.64387000000000005</v>
      </c>
      <c r="R120" s="97">
        <v>0.64387000000000005</v>
      </c>
      <c r="S120" s="97">
        <v>0.51561999999999997</v>
      </c>
      <c r="T120" s="97">
        <v>0.51561999999999997</v>
      </c>
      <c r="U120" s="98">
        <v>0.48524699999999998</v>
      </c>
      <c r="V120" s="99">
        <v>0.48524699999999998</v>
      </c>
      <c r="W120" s="98">
        <v>0.39890819999999999</v>
      </c>
      <c r="X120" s="99">
        <v>0.48524699999999998</v>
      </c>
      <c r="Y120" s="100">
        <v>0.53339662499999996</v>
      </c>
      <c r="Z120" s="100">
        <v>0.66156497270000003</v>
      </c>
      <c r="AA120" s="100">
        <v>0.50793495960000001</v>
      </c>
      <c r="AB120" s="100">
        <v>0.66156497270000003</v>
      </c>
      <c r="AC120" s="95"/>
      <c r="AD120" s="95"/>
      <c r="AE120" s="95"/>
      <c r="AF120" s="95"/>
      <c r="AG120" s="95"/>
      <c r="AH120" s="95"/>
      <c r="AI120" s="95"/>
      <c r="AJ120" s="95"/>
      <c r="AK120" s="95"/>
      <c r="AL120" s="95"/>
      <c r="AM120" s="97">
        <v>0.75283999999999995</v>
      </c>
      <c r="AN120" s="95">
        <v>0.71694400000000003</v>
      </c>
      <c r="AO120" s="95">
        <v>0.68744400000000006</v>
      </c>
      <c r="AP120" s="101">
        <v>0.69488499999999997</v>
      </c>
      <c r="AQ120" s="101">
        <v>0.77209399999999995</v>
      </c>
      <c r="AR120" s="101">
        <v>0.73918700000000004</v>
      </c>
      <c r="AS120" s="101">
        <v>0.66526799999999997</v>
      </c>
      <c r="AT120" s="101">
        <v>0.44436799999999999</v>
      </c>
      <c r="AU120" s="101">
        <v>0.45755299999999999</v>
      </c>
      <c r="AV120" s="95">
        <v>0.3130424</v>
      </c>
      <c r="AW120" s="95"/>
      <c r="AX120" s="95">
        <v>0.55703550000000002</v>
      </c>
      <c r="AY120" s="95">
        <v>0.41821600000000003</v>
      </c>
      <c r="AZ120" s="101">
        <v>0.28539100000000001</v>
      </c>
      <c r="BA120" s="101" t="s">
        <v>113</v>
      </c>
      <c r="BB120" s="95"/>
      <c r="BC120" s="95"/>
      <c r="BD120" s="95"/>
      <c r="BE120" s="95"/>
      <c r="BF120" s="95"/>
      <c r="BG120" s="101"/>
      <c r="BH120" s="95">
        <v>0.80442899999999995</v>
      </c>
      <c r="BI120" s="101"/>
      <c r="BJ120" s="95">
        <v>0.33744099999999999</v>
      </c>
      <c r="BK120" s="95">
        <v>0.4</v>
      </c>
      <c r="BL120" s="95"/>
      <c r="BM120" s="95"/>
      <c r="BN120" s="95"/>
      <c r="BO120" s="101">
        <v>0.61638199999999999</v>
      </c>
      <c r="BP120" s="101">
        <v>0.92466599999999999</v>
      </c>
      <c r="BQ120" s="101">
        <v>0.78649500000000006</v>
      </c>
      <c r="BR120" s="101">
        <v>0.471493</v>
      </c>
      <c r="BS120" s="101">
        <v>0.48566999999999999</v>
      </c>
      <c r="BT120" s="95"/>
      <c r="BU120" s="95"/>
      <c r="BV120" s="97">
        <v>0.75</v>
      </c>
      <c r="BW120" s="97">
        <v>1</v>
      </c>
      <c r="BX120" s="97"/>
      <c r="BY120" s="97"/>
      <c r="BZ120" s="96"/>
      <c r="CA120" s="97"/>
      <c r="CB120" s="97">
        <v>0.33744099999999999</v>
      </c>
      <c r="CC120" s="97">
        <v>0.4</v>
      </c>
      <c r="CD120" s="97"/>
      <c r="CE120" s="97"/>
      <c r="CF120" s="97">
        <v>1</v>
      </c>
      <c r="CG120" s="96"/>
      <c r="CH120" s="96"/>
      <c r="CI120" s="103"/>
      <c r="CJ120" s="103"/>
      <c r="CK120" s="101"/>
      <c r="CL120" s="96"/>
      <c r="CM120" s="101"/>
      <c r="CN120" s="101"/>
      <c r="CO120" s="103"/>
      <c r="CP120" s="103"/>
      <c r="CQ120" s="101"/>
      <c r="CR120" s="103"/>
      <c r="CS120" s="103"/>
      <c r="CT120" s="103"/>
      <c r="CU120" s="103"/>
      <c r="CV120" s="103"/>
      <c r="CW120" s="103"/>
      <c r="CX120" s="103"/>
      <c r="CY120" s="103"/>
      <c r="CZ120" s="103"/>
      <c r="DA120" s="103"/>
      <c r="DB120" s="103"/>
      <c r="DC120" s="103"/>
      <c r="DD120" s="103"/>
    </row>
    <row r="121" spans="1:108">
      <c r="A121" s="54">
        <v>109</v>
      </c>
      <c r="B121" s="95" t="s">
        <v>206</v>
      </c>
      <c r="C121" s="95"/>
      <c r="D121" s="96">
        <v>0.501498</v>
      </c>
      <c r="E121" s="96">
        <v>0.52412800000000004</v>
      </c>
      <c r="F121" s="95">
        <v>0.51851999999999998</v>
      </c>
      <c r="G121" s="95">
        <v>0.54623100000000002</v>
      </c>
      <c r="H121" s="95">
        <v>1</v>
      </c>
      <c r="I121" s="95">
        <v>1</v>
      </c>
      <c r="J121" s="95"/>
      <c r="K121" s="95">
        <v>0.62458599999999997</v>
      </c>
      <c r="L121" s="95" t="s">
        <v>206</v>
      </c>
      <c r="M121" s="95">
        <v>0.54552100000000003</v>
      </c>
      <c r="N121" s="95">
        <v>0.52565799999999996</v>
      </c>
      <c r="O121" s="95">
        <v>0.610761</v>
      </c>
      <c r="P121" s="95">
        <v>0.57935099999999995</v>
      </c>
      <c r="Q121" s="97">
        <v>0.70504999999999995</v>
      </c>
      <c r="R121" s="97">
        <v>0.70504999999999995</v>
      </c>
      <c r="S121" s="97">
        <v>0.56552999999999998</v>
      </c>
      <c r="T121" s="97">
        <v>0.56552999999999998</v>
      </c>
      <c r="U121" s="98">
        <v>0.52469929999999998</v>
      </c>
      <c r="V121" s="99">
        <v>0.52469929999999998</v>
      </c>
      <c r="W121" s="98">
        <v>0.4408339</v>
      </c>
      <c r="X121" s="99">
        <v>0.52469929999999998</v>
      </c>
      <c r="Y121" s="100">
        <v>0.58877032100000004</v>
      </c>
      <c r="Z121" s="100">
        <v>0.72502642159999997</v>
      </c>
      <c r="AA121" s="100">
        <v>0.5750130913</v>
      </c>
      <c r="AB121" s="100">
        <v>0.72502642159999997</v>
      </c>
      <c r="AC121" s="95"/>
      <c r="AD121" s="95"/>
      <c r="AE121" s="95"/>
      <c r="AF121" s="95"/>
      <c r="AG121" s="95"/>
      <c r="AH121" s="95"/>
      <c r="AI121" s="95"/>
      <c r="AJ121" s="95"/>
      <c r="AK121" s="95"/>
      <c r="AL121" s="95"/>
      <c r="AM121" s="97">
        <v>1</v>
      </c>
      <c r="AN121" s="95">
        <v>0.80630900000000005</v>
      </c>
      <c r="AO121" s="95">
        <v>0.785555</v>
      </c>
      <c r="AP121" s="101">
        <v>0.78947400000000001</v>
      </c>
      <c r="AQ121" s="101">
        <v>0.877193</v>
      </c>
      <c r="AR121" s="101">
        <v>0.84468299999999996</v>
      </c>
      <c r="AS121" s="101">
        <v>0.76021499999999997</v>
      </c>
      <c r="AT121" s="101">
        <v>0.46446900000000002</v>
      </c>
      <c r="AU121" s="101">
        <v>0.47315000000000002</v>
      </c>
      <c r="AV121" s="95">
        <v>0.32805679999999998</v>
      </c>
      <c r="AW121" s="95"/>
      <c r="AX121" s="95">
        <v>0.56966830000000002</v>
      </c>
      <c r="AY121" s="95">
        <v>0.43521699999999996</v>
      </c>
      <c r="AZ121" s="101">
        <v>0.30155700000000002</v>
      </c>
      <c r="BA121" s="101" t="s">
        <v>114</v>
      </c>
      <c r="BB121" s="95"/>
      <c r="BC121" s="95"/>
      <c r="BD121" s="95"/>
      <c r="BE121" s="95"/>
      <c r="BF121" s="95"/>
      <c r="BG121" s="101"/>
      <c r="BH121" s="95">
        <v>0.91666700000000001</v>
      </c>
      <c r="BI121" s="101"/>
      <c r="BJ121" s="95">
        <v>0.35154400000000002</v>
      </c>
      <c r="BK121" s="95">
        <v>0.4</v>
      </c>
      <c r="BL121" s="95"/>
      <c r="BM121" s="95"/>
      <c r="BN121" s="95"/>
      <c r="BO121" s="101">
        <v>0.66869599999999996</v>
      </c>
      <c r="BP121" s="101">
        <v>1</v>
      </c>
      <c r="BQ121" s="101">
        <v>0.85265899999999994</v>
      </c>
      <c r="BR121" s="101">
        <v>0.48347299999999999</v>
      </c>
      <c r="BS121" s="101">
        <v>0.492807</v>
      </c>
      <c r="BT121" s="95"/>
      <c r="BU121" s="95"/>
      <c r="BV121" s="103"/>
      <c r="BW121" s="103"/>
      <c r="BX121" s="103"/>
      <c r="BY121" s="103"/>
      <c r="BZ121" s="101"/>
      <c r="CA121" s="103"/>
      <c r="CB121" s="103"/>
      <c r="CC121" s="103"/>
      <c r="CD121" s="103"/>
      <c r="CE121" s="103"/>
      <c r="CF121" s="103"/>
      <c r="CG121" s="101"/>
      <c r="CH121" s="101"/>
      <c r="CI121" s="103"/>
      <c r="CJ121" s="103"/>
      <c r="CK121" s="101"/>
      <c r="CL121" s="101"/>
      <c r="CM121" s="101"/>
      <c r="CN121" s="101"/>
      <c r="CO121" s="103"/>
      <c r="CP121" s="103"/>
      <c r="CQ121" s="101"/>
      <c r="CR121" s="103"/>
      <c r="CS121" s="103"/>
      <c r="CT121" s="103"/>
      <c r="CU121" s="103"/>
      <c r="CV121" s="103"/>
      <c r="CW121" s="103"/>
      <c r="CX121" s="103"/>
      <c r="CY121" s="103"/>
      <c r="CZ121" s="103"/>
      <c r="DA121" s="103"/>
      <c r="DB121" s="103"/>
      <c r="DC121" s="103"/>
      <c r="DD121" s="103"/>
    </row>
    <row r="122" spans="1:108">
      <c r="A122" s="54">
        <v>110</v>
      </c>
      <c r="B122" s="95" t="s">
        <v>206</v>
      </c>
      <c r="C122" s="95"/>
      <c r="D122" s="96">
        <v>0.56256300000000004</v>
      </c>
      <c r="E122" s="96">
        <v>0.58400399999999997</v>
      </c>
      <c r="F122" s="95">
        <v>0.57763100000000001</v>
      </c>
      <c r="G122" s="95">
        <v>0.60391700000000004</v>
      </c>
      <c r="H122" s="95"/>
      <c r="I122" s="95"/>
      <c r="J122" s="95"/>
      <c r="K122" s="95">
        <v>0.67036099999999998</v>
      </c>
      <c r="L122" s="95" t="s">
        <v>206</v>
      </c>
      <c r="M122" s="95">
        <v>0.60211499999999996</v>
      </c>
      <c r="N122" s="95">
        <v>0.58446200000000004</v>
      </c>
      <c r="O122" s="95">
        <v>0.66341700000000003</v>
      </c>
      <c r="P122" s="95">
        <v>0.63481399999999999</v>
      </c>
      <c r="Q122" s="97">
        <v>0.77203999999999995</v>
      </c>
      <c r="R122" s="97">
        <v>0.77203999999999995</v>
      </c>
      <c r="S122" s="97">
        <v>0.62029000000000001</v>
      </c>
      <c r="T122" s="97">
        <v>0.62029000000000001</v>
      </c>
      <c r="U122" s="98">
        <v>0.56735919999999995</v>
      </c>
      <c r="V122" s="99">
        <v>0.56735919999999995</v>
      </c>
      <c r="W122" s="98">
        <v>0.48716609999999999</v>
      </c>
      <c r="X122" s="99">
        <v>0.56735919999999995</v>
      </c>
      <c r="Y122" s="100">
        <v>0.65132761299999997</v>
      </c>
      <c r="Z122" s="100">
        <v>0.79059412520000005</v>
      </c>
      <c r="AA122" s="100">
        <v>0.65132761299999997</v>
      </c>
      <c r="AB122" s="100">
        <v>0.79059412520000005</v>
      </c>
      <c r="AC122" s="95"/>
      <c r="AD122" s="95"/>
      <c r="AE122" s="95"/>
      <c r="AF122" s="95"/>
      <c r="AG122" s="95"/>
      <c r="AH122" s="95"/>
      <c r="AI122" s="95"/>
      <c r="AJ122" s="95"/>
      <c r="AK122" s="95"/>
      <c r="AL122" s="95"/>
      <c r="AM122" s="97"/>
      <c r="AN122" s="95">
        <v>1</v>
      </c>
      <c r="AO122" s="95">
        <v>1</v>
      </c>
      <c r="AP122" s="101">
        <v>1</v>
      </c>
      <c r="AQ122" s="101">
        <v>1</v>
      </c>
      <c r="AR122" s="101">
        <v>1</v>
      </c>
      <c r="AS122" s="101">
        <v>1</v>
      </c>
      <c r="AT122" s="101">
        <v>0.482325</v>
      </c>
      <c r="AU122" s="101">
        <v>0.48674499999999998</v>
      </c>
      <c r="AV122" s="95">
        <v>0.34350160000000002</v>
      </c>
      <c r="AW122" s="95"/>
      <c r="AX122" s="95">
        <v>0.58157239999999999</v>
      </c>
      <c r="AY122" s="95">
        <v>0.452567</v>
      </c>
      <c r="AZ122" s="101">
        <v>0.31824999999999998</v>
      </c>
      <c r="BA122" s="101" t="s">
        <v>115</v>
      </c>
      <c r="BB122" s="95"/>
      <c r="BC122" s="95"/>
      <c r="BD122" s="95"/>
      <c r="BE122" s="95"/>
      <c r="BF122" s="95"/>
      <c r="BG122" s="101"/>
      <c r="BH122" s="95">
        <v>1</v>
      </c>
      <c r="BI122" s="101"/>
      <c r="BJ122" s="95">
        <v>0.36461700000000002</v>
      </c>
      <c r="BK122" s="95">
        <v>0.4</v>
      </c>
      <c r="BL122" s="95"/>
      <c r="BM122" s="95"/>
      <c r="BN122" s="95"/>
      <c r="BO122" s="101">
        <v>0.72574499999999997</v>
      </c>
      <c r="BP122" s="101"/>
      <c r="BQ122" s="101">
        <v>0.92466599999999999</v>
      </c>
      <c r="BR122" s="101">
        <v>0.49243599999999998</v>
      </c>
      <c r="BS122" s="101">
        <v>0.49718899999999999</v>
      </c>
      <c r="BT122" s="95"/>
      <c r="BU122" s="95"/>
      <c r="BV122" s="103"/>
      <c r="BW122" s="103"/>
      <c r="BX122" s="103"/>
      <c r="BY122" s="103"/>
      <c r="BZ122" s="101"/>
      <c r="CA122" s="103"/>
      <c r="CB122" s="103"/>
      <c r="CC122" s="103"/>
      <c r="CD122" s="103"/>
      <c r="CE122" s="103"/>
      <c r="CF122" s="103"/>
      <c r="CG122" s="101"/>
      <c r="CH122" s="101"/>
      <c r="CI122" s="103"/>
      <c r="CJ122" s="103"/>
      <c r="CK122" s="101"/>
      <c r="CL122" s="101"/>
      <c r="CM122" s="101"/>
      <c r="CN122" s="101"/>
      <c r="CO122" s="103"/>
      <c r="CP122" s="103"/>
      <c r="CQ122" s="101"/>
      <c r="CR122" s="103"/>
      <c r="CS122" s="103"/>
      <c r="CT122" s="103"/>
      <c r="CU122" s="103"/>
      <c r="CV122" s="103"/>
      <c r="CW122" s="103"/>
      <c r="CX122" s="103"/>
      <c r="CY122" s="103"/>
      <c r="CZ122" s="103"/>
      <c r="DA122" s="103"/>
      <c r="DB122" s="103"/>
      <c r="DC122" s="103"/>
      <c r="DD122" s="103"/>
    </row>
    <row r="123" spans="1:108">
      <c r="A123" s="54">
        <v>111</v>
      </c>
      <c r="B123" s="95" t="s">
        <v>206</v>
      </c>
      <c r="C123" s="95"/>
      <c r="D123" s="96">
        <v>0.63164500000000001</v>
      </c>
      <c r="E123" s="96">
        <v>0.651007</v>
      </c>
      <c r="F123" s="95">
        <v>0.64442699999999997</v>
      </c>
      <c r="G123" s="95">
        <v>0.66818599999999995</v>
      </c>
      <c r="H123" s="95"/>
      <c r="I123" s="95"/>
      <c r="J123" s="95"/>
      <c r="K123" s="95">
        <v>0.73361900000000002</v>
      </c>
      <c r="L123" s="95" t="s">
        <v>206</v>
      </c>
      <c r="M123" s="95">
        <v>0.66567600000000005</v>
      </c>
      <c r="N123" s="95">
        <v>0.65064599999999995</v>
      </c>
      <c r="O123" s="95">
        <v>0.72062599999999999</v>
      </c>
      <c r="P123" s="95">
        <v>0.69570399999999999</v>
      </c>
      <c r="Q123" s="97">
        <v>0.84540000000000004</v>
      </c>
      <c r="R123" s="97">
        <v>0.84540000000000004</v>
      </c>
      <c r="S123" s="97">
        <v>0.68035000000000001</v>
      </c>
      <c r="T123" s="97">
        <v>0.68035000000000001</v>
      </c>
      <c r="U123" s="98">
        <v>0.61348749999999996</v>
      </c>
      <c r="V123" s="99">
        <v>0.61348749999999996</v>
      </c>
      <c r="W123" s="98">
        <v>0.53836790000000001</v>
      </c>
      <c r="X123" s="99">
        <v>0.61348749999999996</v>
      </c>
      <c r="Y123" s="100">
        <v>0.73667789760000002</v>
      </c>
      <c r="Z123" s="100">
        <v>0.85563595199999998</v>
      </c>
      <c r="AA123" s="100">
        <v>0.73667789760000002</v>
      </c>
      <c r="AB123" s="100">
        <v>0.85563595199999998</v>
      </c>
      <c r="AC123" s="95"/>
      <c r="AD123" s="95"/>
      <c r="AE123" s="95"/>
      <c r="AF123" s="95"/>
      <c r="AG123" s="95"/>
      <c r="AH123" s="95"/>
      <c r="AI123" s="95"/>
      <c r="AJ123" s="95"/>
      <c r="AK123" s="95"/>
      <c r="AL123" s="95"/>
      <c r="AM123" s="97"/>
      <c r="AN123" s="95"/>
      <c r="AO123" s="95"/>
      <c r="AP123" s="101"/>
      <c r="AQ123" s="101"/>
      <c r="AR123" s="101"/>
      <c r="AS123" s="101"/>
      <c r="AT123" s="101">
        <v>0.49510999999999999</v>
      </c>
      <c r="AU123" s="101">
        <v>0.49635600000000002</v>
      </c>
      <c r="AV123" s="95">
        <v>0.35938150000000002</v>
      </c>
      <c r="AW123" s="95"/>
      <c r="AX123" s="95">
        <v>0.59275169999999999</v>
      </c>
      <c r="AY123" s="95">
        <v>0.47026699999999999</v>
      </c>
      <c r="AZ123" s="101">
        <v>0.33547199999999999</v>
      </c>
      <c r="BA123" s="101" t="s">
        <v>116</v>
      </c>
      <c r="BB123" s="95"/>
      <c r="BC123" s="95"/>
      <c r="BD123" s="95"/>
      <c r="BE123" s="95"/>
      <c r="BF123" s="95"/>
      <c r="BG123" s="101"/>
      <c r="BH123" s="95"/>
      <c r="BI123" s="101"/>
      <c r="BJ123" s="95">
        <v>0.37624600000000002</v>
      </c>
      <c r="BK123" s="95">
        <v>0.4</v>
      </c>
      <c r="BL123" s="95"/>
      <c r="BM123" s="95"/>
      <c r="BN123" s="95"/>
      <c r="BO123" s="101">
        <v>1</v>
      </c>
      <c r="BP123" s="101"/>
      <c r="BQ123" s="101">
        <v>1</v>
      </c>
      <c r="BR123" s="101">
        <v>0.498054</v>
      </c>
      <c r="BS123" s="101">
        <v>0.499394</v>
      </c>
      <c r="BT123" s="95"/>
      <c r="BU123" s="95"/>
      <c r="BV123" s="103"/>
      <c r="BW123" s="103"/>
      <c r="BX123" s="103"/>
      <c r="BY123" s="103"/>
      <c r="BZ123" s="101"/>
      <c r="CA123" s="103"/>
      <c r="CB123" s="103"/>
      <c r="CC123" s="103"/>
      <c r="CD123" s="103"/>
      <c r="CE123" s="103"/>
      <c r="CF123" s="103"/>
      <c r="CG123" s="101"/>
      <c r="CH123" s="101"/>
      <c r="CI123" s="103"/>
      <c r="CJ123" s="103"/>
      <c r="CK123" s="101"/>
      <c r="CL123" s="101"/>
      <c r="CM123" s="101"/>
      <c r="CN123" s="101"/>
      <c r="CO123" s="103"/>
      <c r="CP123" s="103"/>
      <c r="CQ123" s="101"/>
      <c r="CR123" s="103"/>
      <c r="CS123" s="103"/>
      <c r="CT123" s="103"/>
      <c r="CU123" s="103"/>
      <c r="CV123" s="103"/>
      <c r="CW123" s="103"/>
      <c r="CX123" s="103"/>
      <c r="CY123" s="103"/>
      <c r="CZ123" s="103"/>
      <c r="DA123" s="103"/>
      <c r="DB123" s="103"/>
      <c r="DC123" s="103"/>
      <c r="DD123" s="103"/>
    </row>
    <row r="124" spans="1:108">
      <c r="A124" s="54">
        <v>112</v>
      </c>
      <c r="B124" s="95" t="s">
        <v>206</v>
      </c>
      <c r="C124" s="95"/>
      <c r="D124" s="96">
        <v>0.70933800000000002</v>
      </c>
      <c r="E124" s="96">
        <v>0.72562199999999999</v>
      </c>
      <c r="F124" s="95">
        <v>0.71948400000000001</v>
      </c>
      <c r="G124" s="95">
        <v>0.739483</v>
      </c>
      <c r="H124" s="95"/>
      <c r="I124" s="95"/>
      <c r="J124" s="95"/>
      <c r="K124" s="95">
        <v>0.831839</v>
      </c>
      <c r="L124" s="95" t="s">
        <v>206</v>
      </c>
      <c r="M124" s="95">
        <v>0.73672499999999996</v>
      </c>
      <c r="N124" s="95">
        <v>0.72475000000000001</v>
      </c>
      <c r="O124" s="95">
        <v>0.78264</v>
      </c>
      <c r="P124" s="95">
        <v>0.76234299999999999</v>
      </c>
      <c r="Q124" s="97">
        <v>0.92574999999999996</v>
      </c>
      <c r="R124" s="97">
        <v>0.92574999999999996</v>
      </c>
      <c r="S124" s="97">
        <v>0.74622999999999995</v>
      </c>
      <c r="T124" s="97">
        <v>0.74622999999999995</v>
      </c>
      <c r="U124" s="98">
        <v>0.66336620000000002</v>
      </c>
      <c r="V124" s="99">
        <v>0.66336620000000002</v>
      </c>
      <c r="W124" s="98">
        <v>0.59495100000000001</v>
      </c>
      <c r="X124" s="99">
        <v>0.66336620000000002</v>
      </c>
      <c r="Y124" s="100">
        <v>0.82820225349999999</v>
      </c>
      <c r="Z124" s="100">
        <v>0.91535237390000002</v>
      </c>
      <c r="AA124" s="100">
        <v>0.82820225349999999</v>
      </c>
      <c r="AB124" s="100">
        <v>0.91535237390000002</v>
      </c>
      <c r="AC124" s="105"/>
      <c r="AD124" s="95"/>
      <c r="AE124" s="95"/>
      <c r="AF124" s="95"/>
      <c r="AG124" s="95"/>
      <c r="AH124" s="95"/>
      <c r="AI124" s="95"/>
      <c r="AJ124" s="95"/>
      <c r="AK124" s="95"/>
      <c r="AL124" s="95"/>
      <c r="AM124" s="97"/>
      <c r="AN124" s="95"/>
      <c r="AO124" s="95"/>
      <c r="AP124" s="101"/>
      <c r="AQ124" s="101"/>
      <c r="AR124" s="101"/>
      <c r="AS124" s="101"/>
      <c r="AT124" s="101">
        <v>0.5</v>
      </c>
      <c r="AU124" s="101">
        <v>0.5</v>
      </c>
      <c r="AV124" s="105">
        <v>0.37570110000000001</v>
      </c>
      <c r="AW124" s="95"/>
      <c r="AX124" s="95">
        <v>0.60321709999999995</v>
      </c>
      <c r="AY124" s="105">
        <v>0.488317</v>
      </c>
      <c r="AZ124" s="101">
        <v>0.35322100000000001</v>
      </c>
      <c r="BA124" s="101" t="s">
        <v>117</v>
      </c>
      <c r="BB124" s="95"/>
      <c r="BC124" s="95"/>
      <c r="BD124" s="95"/>
      <c r="BE124" s="95"/>
      <c r="BF124" s="95"/>
      <c r="BG124" s="101"/>
      <c r="BH124" s="105"/>
      <c r="BI124" s="106"/>
      <c r="BJ124" s="95">
        <v>0.386015</v>
      </c>
      <c r="BK124" s="95">
        <v>0.4</v>
      </c>
      <c r="BL124" s="95"/>
      <c r="BM124" s="95"/>
      <c r="BN124" s="95"/>
      <c r="BO124" s="106"/>
      <c r="BP124" s="106"/>
      <c r="BQ124" s="106"/>
      <c r="BR124" s="101">
        <v>0.5</v>
      </c>
      <c r="BS124" s="101">
        <v>0.5</v>
      </c>
      <c r="BT124" s="95"/>
      <c r="BU124" s="105"/>
      <c r="BV124" s="103"/>
      <c r="BW124" s="103"/>
      <c r="BX124" s="103"/>
      <c r="BY124" s="103"/>
      <c r="BZ124" s="101"/>
      <c r="CA124" s="103"/>
      <c r="CB124" s="103"/>
      <c r="CC124" s="103"/>
      <c r="CD124" s="103"/>
      <c r="CE124" s="103"/>
      <c r="CF124" s="103"/>
      <c r="CG124" s="101"/>
      <c r="CH124" s="101"/>
      <c r="CI124" s="103"/>
      <c r="CJ124" s="103"/>
      <c r="CK124" s="101"/>
      <c r="CL124" s="101"/>
      <c r="CM124" s="101"/>
      <c r="CN124" s="101"/>
      <c r="CO124" s="103"/>
      <c r="CP124" s="103"/>
      <c r="CQ124" s="101"/>
      <c r="CR124" s="103"/>
      <c r="CS124" s="103"/>
      <c r="CT124" s="103"/>
      <c r="CU124" s="103"/>
      <c r="CV124" s="103"/>
      <c r="CW124" s="103"/>
      <c r="CX124" s="103"/>
      <c r="CY124" s="103"/>
      <c r="CZ124" s="103"/>
      <c r="DA124" s="103"/>
      <c r="DB124" s="103"/>
      <c r="DC124" s="103"/>
      <c r="DD124" s="103"/>
    </row>
    <row r="125" spans="1:108">
      <c r="A125" s="54">
        <v>113</v>
      </c>
      <c r="B125" s="95" t="s">
        <v>206</v>
      </c>
      <c r="C125" s="95"/>
      <c r="D125" s="96">
        <v>0.79623299999999997</v>
      </c>
      <c r="E125" s="96">
        <v>0.80833600000000005</v>
      </c>
      <c r="F125" s="95">
        <v>0.80337999999999998</v>
      </c>
      <c r="G125" s="95">
        <v>0.81825400000000004</v>
      </c>
      <c r="H125" s="95"/>
      <c r="I125" s="95"/>
      <c r="J125" s="95"/>
      <c r="K125" s="95">
        <v>1</v>
      </c>
      <c r="L125" s="95" t="s">
        <v>206</v>
      </c>
      <c r="M125" s="95">
        <v>0.81578200000000001</v>
      </c>
      <c r="N125" s="95">
        <v>0.80731600000000003</v>
      </c>
      <c r="O125" s="95">
        <v>0.84970800000000002</v>
      </c>
      <c r="P125" s="95">
        <v>0.83505600000000002</v>
      </c>
      <c r="Q125" s="97">
        <v>1</v>
      </c>
      <c r="R125" s="97">
        <v>1</v>
      </c>
      <c r="S125" s="97">
        <v>0.81849000000000005</v>
      </c>
      <c r="T125" s="97">
        <v>0.81849000000000005</v>
      </c>
      <c r="U125" s="98">
        <v>0.71730020000000005</v>
      </c>
      <c r="V125" s="99">
        <v>0.71730020000000005</v>
      </c>
      <c r="W125" s="98">
        <v>0.65748099999999998</v>
      </c>
      <c r="X125" s="99">
        <v>0.71730020000000005</v>
      </c>
      <c r="Y125" s="100">
        <v>0.91657480189999996</v>
      </c>
      <c r="Z125" s="100">
        <v>0.96298012219999995</v>
      </c>
      <c r="AA125" s="100">
        <v>0.91657480189999996</v>
      </c>
      <c r="AB125" s="100">
        <v>0.96298012219999995</v>
      </c>
      <c r="AC125" s="105"/>
      <c r="AD125" s="95"/>
      <c r="AE125" s="95"/>
      <c r="AF125" s="95"/>
      <c r="AG125" s="95"/>
      <c r="AH125" s="95"/>
      <c r="AI125" s="95"/>
      <c r="AJ125" s="95"/>
      <c r="AK125" s="95"/>
      <c r="AL125" s="95"/>
      <c r="AM125" s="97"/>
      <c r="AN125" s="95"/>
      <c r="AO125" s="95"/>
      <c r="AP125" s="101"/>
      <c r="AQ125" s="101"/>
      <c r="AR125" s="101"/>
      <c r="AS125" s="101"/>
      <c r="AT125" s="101">
        <v>0.5</v>
      </c>
      <c r="AU125" s="101">
        <v>0.5</v>
      </c>
      <c r="AV125" s="105">
        <v>0.39246540000000002</v>
      </c>
      <c r="AW125" s="95"/>
      <c r="AX125" s="95">
        <v>0.61298509999999995</v>
      </c>
      <c r="AY125" s="105">
        <v>0.50671699999999997</v>
      </c>
      <c r="AZ125" s="101">
        <v>0.37149900000000002</v>
      </c>
      <c r="BA125" s="101" t="s">
        <v>118</v>
      </c>
      <c r="BB125" s="95"/>
      <c r="BC125" s="95"/>
      <c r="BD125" s="95"/>
      <c r="BE125" s="95"/>
      <c r="BF125" s="95"/>
      <c r="BG125" s="101"/>
      <c r="BH125" s="105"/>
      <c r="BI125" s="106"/>
      <c r="BJ125" s="95">
        <v>0.393507</v>
      </c>
      <c r="BK125" s="95">
        <v>0.4</v>
      </c>
      <c r="BL125" s="95"/>
      <c r="BM125" s="95"/>
      <c r="BN125" s="95"/>
      <c r="BO125" s="106"/>
      <c r="BP125" s="106"/>
      <c r="BQ125" s="106"/>
      <c r="BR125" s="101">
        <v>0.5</v>
      </c>
      <c r="BS125" s="101">
        <v>0.5</v>
      </c>
      <c r="BT125" s="95"/>
      <c r="BU125" s="105"/>
      <c r="BV125" s="103"/>
      <c r="BW125" s="103"/>
      <c r="BX125" s="103"/>
      <c r="BY125" s="103"/>
      <c r="BZ125" s="101"/>
      <c r="CA125" s="103"/>
      <c r="CB125" s="103"/>
      <c r="CC125" s="103"/>
      <c r="CD125" s="103"/>
      <c r="CE125" s="103"/>
      <c r="CF125" s="103"/>
      <c r="CG125" s="101"/>
      <c r="CH125" s="101"/>
      <c r="CI125" s="103"/>
      <c r="CJ125" s="103"/>
      <c r="CK125" s="101"/>
      <c r="CL125" s="101"/>
      <c r="CM125" s="101"/>
      <c r="CN125" s="101"/>
      <c r="CO125" s="103"/>
      <c r="CP125" s="103"/>
      <c r="CQ125" s="101"/>
      <c r="CR125" s="103"/>
      <c r="CS125" s="103"/>
      <c r="CT125" s="103"/>
      <c r="CU125" s="103"/>
      <c r="CV125" s="103"/>
      <c r="CW125" s="103"/>
      <c r="CX125" s="103"/>
      <c r="CY125" s="103"/>
      <c r="CZ125" s="103"/>
      <c r="DA125" s="103"/>
      <c r="DB125" s="103"/>
      <c r="DC125" s="103"/>
      <c r="DD125" s="103"/>
    </row>
    <row r="126" spans="1:108">
      <c r="A126" s="54">
        <v>114</v>
      </c>
      <c r="B126" s="95" t="s">
        <v>206</v>
      </c>
      <c r="C126" s="95"/>
      <c r="D126" s="96">
        <v>0.89292300000000002</v>
      </c>
      <c r="E126" s="96">
        <v>0.89963300000000002</v>
      </c>
      <c r="F126" s="95">
        <v>0.89669299999999996</v>
      </c>
      <c r="G126" s="95">
        <v>0.904945</v>
      </c>
      <c r="H126" s="95"/>
      <c r="I126" s="95"/>
      <c r="J126" s="95"/>
      <c r="K126" s="95" t="s">
        <v>206</v>
      </c>
      <c r="L126" s="95" t="s">
        <v>206</v>
      </c>
      <c r="M126" s="95">
        <v>0.90336700000000003</v>
      </c>
      <c r="N126" s="95">
        <v>0.89888500000000005</v>
      </c>
      <c r="O126" s="95">
        <v>0.92207700000000004</v>
      </c>
      <c r="P126" s="95">
        <v>0.91416699999999995</v>
      </c>
      <c r="Q126" s="97"/>
      <c r="R126" s="97"/>
      <c r="S126" s="97">
        <v>0.89776</v>
      </c>
      <c r="T126" s="97">
        <v>0.89776</v>
      </c>
      <c r="U126" s="98">
        <v>0.77561919999999995</v>
      </c>
      <c r="V126" s="99">
        <v>0.77561919999999995</v>
      </c>
      <c r="W126" s="98">
        <v>0.72658310000000004</v>
      </c>
      <c r="X126" s="99">
        <v>0.77561919999999995</v>
      </c>
      <c r="Y126" s="100">
        <v>0.98094651430000002</v>
      </c>
      <c r="Z126" s="100">
        <v>0.99126283520000003</v>
      </c>
      <c r="AA126" s="100">
        <v>0.98094651430000002</v>
      </c>
      <c r="AB126" s="100">
        <v>0.99126283520000003</v>
      </c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7"/>
      <c r="AN126" s="95"/>
      <c r="AO126" s="95"/>
      <c r="AP126" s="101"/>
      <c r="AQ126" s="101"/>
      <c r="AR126" s="101"/>
      <c r="AS126" s="101"/>
      <c r="AT126" s="101">
        <v>0.5</v>
      </c>
      <c r="AU126" s="101">
        <v>0.5</v>
      </c>
      <c r="AV126" s="95">
        <v>0.40967910000000002</v>
      </c>
      <c r="AW126" s="95"/>
      <c r="AX126" s="95">
        <v>0.62207670000000004</v>
      </c>
      <c r="AY126" s="95">
        <v>0.52546599999999999</v>
      </c>
      <c r="AZ126" s="101">
        <v>0.39030399999999998</v>
      </c>
      <c r="BA126" s="101" t="s">
        <v>119</v>
      </c>
      <c r="BB126" s="95"/>
      <c r="BC126" s="95"/>
      <c r="BD126" s="95"/>
      <c r="BE126" s="95"/>
      <c r="BF126" s="95"/>
      <c r="BG126" s="101"/>
      <c r="BH126" s="95"/>
      <c r="BI126" s="101"/>
      <c r="BJ126" s="95">
        <v>0.398308</v>
      </c>
      <c r="BK126" s="95">
        <v>0.4</v>
      </c>
      <c r="BL126" s="95"/>
      <c r="BM126" s="95"/>
      <c r="BN126" s="95"/>
      <c r="BO126" s="101"/>
      <c r="BP126" s="101"/>
      <c r="BQ126" s="101"/>
      <c r="BR126" s="101">
        <v>0.5</v>
      </c>
      <c r="BS126" s="101">
        <v>0.5</v>
      </c>
      <c r="BT126" s="95"/>
      <c r="BU126" s="95"/>
      <c r="BV126" s="103"/>
      <c r="BW126" s="103"/>
      <c r="BX126" s="103"/>
      <c r="BY126" s="103"/>
      <c r="BZ126" s="101"/>
      <c r="CA126" s="103"/>
      <c r="CB126" s="103"/>
      <c r="CC126" s="103"/>
      <c r="CD126" s="103"/>
      <c r="CE126" s="103"/>
      <c r="CF126" s="103"/>
      <c r="CG126" s="101"/>
      <c r="CH126" s="101"/>
      <c r="CI126" s="103"/>
      <c r="CJ126" s="103"/>
      <c r="CK126" s="101"/>
      <c r="CL126" s="101"/>
      <c r="CM126" s="101"/>
      <c r="CN126" s="101"/>
      <c r="CO126" s="103"/>
      <c r="CP126" s="103"/>
      <c r="CQ126" s="101"/>
      <c r="CR126" s="103"/>
      <c r="CS126" s="103"/>
      <c r="CT126" s="103"/>
      <c r="CU126" s="103"/>
      <c r="CV126" s="103"/>
      <c r="CW126" s="103"/>
      <c r="CX126" s="103"/>
      <c r="CY126" s="103"/>
      <c r="CZ126" s="103"/>
      <c r="DA126" s="103"/>
      <c r="DB126" s="103"/>
      <c r="DC126" s="103"/>
      <c r="DD126" s="103"/>
    </row>
    <row r="127" spans="1:108">
      <c r="A127" s="54">
        <v>115</v>
      </c>
      <c r="B127" s="95" t="s">
        <v>206</v>
      </c>
      <c r="C127" s="95"/>
      <c r="D127" s="96">
        <v>1</v>
      </c>
      <c r="E127" s="96">
        <v>1</v>
      </c>
      <c r="F127" s="95">
        <v>1</v>
      </c>
      <c r="G127" s="95">
        <v>1</v>
      </c>
      <c r="H127" s="95"/>
      <c r="I127" s="95"/>
      <c r="J127" s="95"/>
      <c r="K127" s="95"/>
      <c r="L127" s="95"/>
      <c r="M127" s="95">
        <v>1</v>
      </c>
      <c r="N127" s="95">
        <v>1</v>
      </c>
      <c r="O127" s="95">
        <v>1</v>
      </c>
      <c r="P127" s="95">
        <v>1</v>
      </c>
      <c r="Q127" s="97"/>
      <c r="R127" s="97"/>
      <c r="S127" s="97">
        <v>0.98470999999999997</v>
      </c>
      <c r="T127" s="97">
        <v>0.98470999999999997</v>
      </c>
      <c r="U127" s="98">
        <v>0.83867979999999998</v>
      </c>
      <c r="V127" s="99">
        <v>0.83867979999999998</v>
      </c>
      <c r="W127" s="98">
        <v>0.80294779999999999</v>
      </c>
      <c r="X127" s="99">
        <v>0.83867979999999998</v>
      </c>
      <c r="Y127" s="100">
        <v>0.99981619720000003</v>
      </c>
      <c r="Z127" s="100">
        <v>0.99962182649999998</v>
      </c>
      <c r="AA127" s="100">
        <v>0.99981619720000003</v>
      </c>
      <c r="AB127" s="100">
        <v>0.99962182649999998</v>
      </c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7"/>
      <c r="AN127" s="95"/>
      <c r="AO127" s="95"/>
      <c r="AP127" s="101"/>
      <c r="AQ127" s="101"/>
      <c r="AR127" s="101"/>
      <c r="AS127" s="101"/>
      <c r="AT127" s="101">
        <v>0.5</v>
      </c>
      <c r="AU127" s="101">
        <v>0.5</v>
      </c>
      <c r="AV127" s="95">
        <v>0.42734680000000003</v>
      </c>
      <c r="AW127" s="95"/>
      <c r="AX127" s="95">
        <v>0.63051699999999999</v>
      </c>
      <c r="AY127" s="95">
        <v>0.54456500000000008</v>
      </c>
      <c r="AZ127" s="101">
        <v>0.40963699999999997</v>
      </c>
      <c r="BA127" s="101" t="s">
        <v>120</v>
      </c>
      <c r="BB127" s="95"/>
      <c r="BC127" s="95"/>
      <c r="BD127" s="95"/>
      <c r="BE127" s="95"/>
      <c r="BF127" s="95"/>
      <c r="BG127" s="101"/>
      <c r="BH127" s="95"/>
      <c r="BI127" s="101"/>
      <c r="BJ127" s="95">
        <v>0.4</v>
      </c>
      <c r="BK127" s="95">
        <v>0.4</v>
      </c>
      <c r="BL127" s="95"/>
      <c r="BM127" s="95"/>
      <c r="BN127" s="95"/>
      <c r="BO127" s="101"/>
      <c r="BP127" s="101"/>
      <c r="BQ127" s="101"/>
      <c r="BR127" s="101">
        <v>0.5</v>
      </c>
      <c r="BS127" s="101">
        <v>0.5</v>
      </c>
      <c r="BT127" s="95"/>
      <c r="BU127" s="95"/>
      <c r="BV127" s="103"/>
      <c r="BW127" s="103"/>
      <c r="BX127" s="103"/>
      <c r="BY127" s="103"/>
      <c r="BZ127" s="101"/>
      <c r="CA127" s="103"/>
      <c r="CB127" s="103"/>
      <c r="CC127" s="103"/>
      <c r="CD127" s="103"/>
      <c r="CE127" s="103"/>
      <c r="CF127" s="103"/>
      <c r="CG127" s="101"/>
      <c r="CH127" s="101"/>
      <c r="CI127" s="103"/>
      <c r="CJ127" s="103"/>
      <c r="CK127" s="101"/>
      <c r="CL127" s="101"/>
      <c r="CM127" s="101"/>
      <c r="CN127" s="101"/>
      <c r="CO127" s="103"/>
      <c r="CP127" s="103"/>
      <c r="CQ127" s="101"/>
      <c r="CR127" s="103"/>
      <c r="CS127" s="103"/>
      <c r="CT127" s="103"/>
      <c r="CU127" s="103"/>
      <c r="CV127" s="103"/>
      <c r="CW127" s="103"/>
      <c r="CX127" s="103"/>
      <c r="CY127" s="103"/>
      <c r="CZ127" s="103"/>
      <c r="DA127" s="103"/>
      <c r="DB127" s="103"/>
      <c r="DC127" s="103"/>
      <c r="DD127" s="103"/>
    </row>
    <row r="128" spans="1:108">
      <c r="A128" s="54">
        <v>116</v>
      </c>
      <c r="B128" s="95"/>
      <c r="C128" s="95"/>
      <c r="D128" s="96"/>
      <c r="E128" s="96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7"/>
      <c r="R128" s="97"/>
      <c r="S128" s="97">
        <v>1</v>
      </c>
      <c r="T128" s="97">
        <v>1</v>
      </c>
      <c r="U128" s="98">
        <v>0.90686739999999999</v>
      </c>
      <c r="V128" s="99">
        <v>0.90686739999999999</v>
      </c>
      <c r="W128" s="98">
        <v>0.88733859999999998</v>
      </c>
      <c r="X128" s="99">
        <v>0.90686739999999999</v>
      </c>
      <c r="Y128" s="100">
        <v>1</v>
      </c>
      <c r="Z128" s="100">
        <v>0.99999999750000002</v>
      </c>
      <c r="AA128" s="100">
        <v>1</v>
      </c>
      <c r="AB128" s="100">
        <v>0.99999999750000002</v>
      </c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7"/>
      <c r="AN128" s="95"/>
      <c r="AO128" s="95"/>
      <c r="AP128" s="101"/>
      <c r="AQ128" s="101"/>
      <c r="AR128" s="101"/>
      <c r="AS128" s="101"/>
      <c r="AT128" s="101">
        <v>0.5</v>
      </c>
      <c r="AU128" s="101">
        <v>0.5</v>
      </c>
      <c r="AV128" s="95">
        <v>0.44547350000000002</v>
      </c>
      <c r="AW128" s="95"/>
      <c r="AX128" s="95"/>
      <c r="AY128" s="95">
        <v>0.56401400000000002</v>
      </c>
      <c r="AZ128" s="101">
        <v>0.42949799999999999</v>
      </c>
      <c r="BA128" s="101" t="s">
        <v>121</v>
      </c>
      <c r="BB128" s="95"/>
      <c r="BC128" s="95"/>
      <c r="BD128" s="95"/>
      <c r="BE128" s="95"/>
      <c r="BF128" s="95"/>
      <c r="BG128" s="101"/>
      <c r="BH128" s="95"/>
      <c r="BI128" s="101"/>
      <c r="BJ128" s="95">
        <v>0.4</v>
      </c>
      <c r="BK128" s="95">
        <v>0.4</v>
      </c>
      <c r="BL128" s="95"/>
      <c r="BM128" s="95"/>
      <c r="BN128" s="95"/>
      <c r="BO128" s="101"/>
      <c r="BP128" s="101"/>
      <c r="BQ128" s="101"/>
      <c r="BR128" s="101">
        <v>0.5</v>
      </c>
      <c r="BS128" s="101">
        <v>0.5</v>
      </c>
      <c r="BT128" s="95"/>
      <c r="BU128" s="95"/>
      <c r="BV128" s="103"/>
      <c r="BW128" s="103"/>
      <c r="BX128" s="103"/>
      <c r="BY128" s="103"/>
      <c r="BZ128" s="101"/>
      <c r="CA128" s="103"/>
      <c r="CB128" s="103"/>
      <c r="CC128" s="103"/>
      <c r="CD128" s="103"/>
      <c r="CE128" s="103"/>
      <c r="CF128" s="103"/>
      <c r="CG128" s="101"/>
      <c r="CH128" s="101"/>
      <c r="CI128" s="103"/>
      <c r="CJ128" s="103"/>
      <c r="CK128" s="101"/>
      <c r="CL128" s="101"/>
      <c r="CM128" s="101"/>
      <c r="CN128" s="101"/>
      <c r="CO128" s="103"/>
      <c r="CP128" s="103"/>
      <c r="CQ128" s="101"/>
      <c r="CR128" s="103"/>
      <c r="CS128" s="103"/>
      <c r="CT128" s="103"/>
      <c r="CU128" s="103"/>
      <c r="CV128" s="103"/>
      <c r="CW128" s="103"/>
      <c r="CX128" s="103"/>
      <c r="CY128" s="103"/>
      <c r="CZ128" s="103"/>
      <c r="DA128" s="103"/>
      <c r="DB128" s="103"/>
      <c r="DC128" s="103"/>
      <c r="DD128" s="103"/>
    </row>
    <row r="129" spans="1:108">
      <c r="A129" s="54">
        <v>117</v>
      </c>
      <c r="B129" s="95"/>
      <c r="C129" s="95"/>
      <c r="D129" s="96"/>
      <c r="E129" s="96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7"/>
      <c r="R129" s="97"/>
      <c r="S129" s="97"/>
      <c r="T129" s="97"/>
      <c r="U129" s="98">
        <v>0.98059890000000005</v>
      </c>
      <c r="V129" s="99">
        <v>0.98059890000000005</v>
      </c>
      <c r="W129" s="98">
        <v>0.98059890000000005</v>
      </c>
      <c r="X129" s="99">
        <v>0.98059890000000005</v>
      </c>
      <c r="Y129" s="100"/>
      <c r="Z129" s="100">
        <v>1</v>
      </c>
      <c r="AA129" s="100"/>
      <c r="AB129" s="100">
        <v>1</v>
      </c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7"/>
      <c r="AN129" s="95"/>
      <c r="AO129" s="95"/>
      <c r="AP129" s="101"/>
      <c r="AQ129" s="101"/>
      <c r="AR129" s="101"/>
      <c r="AS129" s="101"/>
      <c r="AT129" s="101">
        <v>0.5</v>
      </c>
      <c r="AU129" s="101">
        <v>0.5</v>
      </c>
      <c r="AV129" s="95">
        <v>0.46406389999999997</v>
      </c>
      <c r="AW129" s="95"/>
      <c r="AX129" s="95"/>
      <c r="AY129" s="95">
        <v>0.58381300000000003</v>
      </c>
      <c r="AZ129" s="101">
        <v>0.44988699999999998</v>
      </c>
      <c r="BA129" s="101" t="s">
        <v>122</v>
      </c>
      <c r="BB129" s="95"/>
      <c r="BC129" s="95"/>
      <c r="BD129" s="95"/>
      <c r="BE129" s="95"/>
      <c r="BF129" s="95"/>
      <c r="BG129" s="101"/>
      <c r="BH129" s="95"/>
      <c r="BI129" s="101"/>
      <c r="BJ129" s="95">
        <v>0.4</v>
      </c>
      <c r="BK129" s="95">
        <v>0.4</v>
      </c>
      <c r="BL129" s="95"/>
      <c r="BM129" s="95"/>
      <c r="BN129" s="95"/>
      <c r="BO129" s="101"/>
      <c r="BP129" s="101"/>
      <c r="BQ129" s="101"/>
      <c r="BR129" s="101">
        <v>0.5</v>
      </c>
      <c r="BS129" s="101">
        <v>0.5</v>
      </c>
      <c r="BT129" s="95"/>
      <c r="BU129" s="95"/>
      <c r="BV129" s="103"/>
      <c r="BW129" s="103"/>
      <c r="BX129" s="103"/>
      <c r="BY129" s="103"/>
      <c r="BZ129" s="101"/>
      <c r="CA129" s="103"/>
      <c r="CB129" s="103"/>
      <c r="CC129" s="103"/>
      <c r="CD129" s="103"/>
      <c r="CE129" s="103"/>
      <c r="CF129" s="103"/>
      <c r="CG129" s="101"/>
      <c r="CH129" s="101"/>
      <c r="CI129" s="103"/>
      <c r="CJ129" s="103"/>
      <c r="CK129" s="101"/>
      <c r="CL129" s="101"/>
      <c r="CM129" s="101"/>
      <c r="CN129" s="101"/>
      <c r="CO129" s="103"/>
      <c r="CP129" s="103"/>
      <c r="CQ129" s="101"/>
      <c r="CR129" s="103"/>
      <c r="CS129" s="103"/>
      <c r="CT129" s="103"/>
      <c r="CU129" s="103"/>
      <c r="CV129" s="103"/>
      <c r="CW129" s="103"/>
      <c r="CX129" s="103"/>
      <c r="CY129" s="103"/>
      <c r="CZ129" s="103"/>
      <c r="DA129" s="103"/>
      <c r="DB129" s="103"/>
      <c r="DC129" s="103"/>
      <c r="DD129" s="103"/>
    </row>
    <row r="130" spans="1:108">
      <c r="A130" s="54">
        <v>118</v>
      </c>
      <c r="B130" s="95"/>
      <c r="C130" s="95"/>
      <c r="D130" s="96"/>
      <c r="E130" s="96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7"/>
      <c r="R130" s="97"/>
      <c r="S130" s="97"/>
      <c r="T130" s="97"/>
      <c r="U130" s="99">
        <v>1</v>
      </c>
      <c r="V130" s="99">
        <v>1</v>
      </c>
      <c r="W130" s="99">
        <v>1</v>
      </c>
      <c r="X130" s="99">
        <v>1</v>
      </c>
      <c r="Y130" s="100"/>
      <c r="Z130" s="100"/>
      <c r="AA130" s="100"/>
      <c r="AB130" s="100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7"/>
      <c r="AN130" s="95"/>
      <c r="AO130" s="95"/>
      <c r="AP130" s="101"/>
      <c r="AQ130" s="101"/>
      <c r="AR130" s="101"/>
      <c r="AS130" s="101"/>
      <c r="AT130" s="101">
        <v>0.5</v>
      </c>
      <c r="AU130" s="101">
        <v>0.5</v>
      </c>
      <c r="AV130" s="95">
        <v>0.48312260000000001</v>
      </c>
      <c r="AW130" s="95"/>
      <c r="AX130" s="95"/>
      <c r="AY130" s="95">
        <v>0.603962</v>
      </c>
      <c r="AZ130" s="101">
        <v>0.470804</v>
      </c>
      <c r="BA130" s="101" t="s">
        <v>123</v>
      </c>
      <c r="BB130" s="95"/>
      <c r="BC130" s="95"/>
      <c r="BD130" s="95"/>
      <c r="BE130" s="95"/>
      <c r="BF130" s="95"/>
      <c r="BG130" s="101"/>
      <c r="BH130" s="95"/>
      <c r="BI130" s="101"/>
      <c r="BJ130" s="95">
        <v>0.4</v>
      </c>
      <c r="BK130" s="95">
        <v>0.4</v>
      </c>
      <c r="BL130" s="95"/>
      <c r="BM130" s="95"/>
      <c r="BN130" s="95"/>
      <c r="BO130" s="101"/>
      <c r="BP130" s="101"/>
      <c r="BQ130" s="101"/>
      <c r="BR130" s="101">
        <v>0.5</v>
      </c>
      <c r="BS130" s="101">
        <v>0.5</v>
      </c>
      <c r="BT130" s="95"/>
      <c r="BU130" s="95"/>
      <c r="BV130" s="103"/>
      <c r="BW130" s="103"/>
      <c r="BX130" s="103"/>
      <c r="BY130" s="103"/>
      <c r="BZ130" s="101"/>
      <c r="CA130" s="103"/>
      <c r="CB130" s="103"/>
      <c r="CC130" s="103"/>
      <c r="CD130" s="103"/>
      <c r="CE130" s="103"/>
      <c r="CF130" s="103"/>
      <c r="CG130" s="101"/>
      <c r="CH130" s="101"/>
      <c r="CI130" s="103"/>
      <c r="CJ130" s="103"/>
      <c r="CK130" s="101"/>
      <c r="CL130" s="101"/>
      <c r="CM130" s="101"/>
      <c r="CN130" s="101"/>
      <c r="CO130" s="103"/>
      <c r="CP130" s="103"/>
      <c r="CQ130" s="101"/>
      <c r="CR130" s="103"/>
      <c r="CS130" s="103"/>
      <c r="CT130" s="103"/>
      <c r="CU130" s="103"/>
      <c r="CV130" s="103"/>
      <c r="CW130" s="103"/>
      <c r="CX130" s="103"/>
      <c r="CY130" s="103"/>
      <c r="CZ130" s="103"/>
      <c r="DA130" s="103"/>
      <c r="DB130" s="103"/>
      <c r="DC130" s="103"/>
      <c r="DD130" s="103"/>
    </row>
    <row r="131" spans="1:108">
      <c r="A131" s="54">
        <v>119</v>
      </c>
      <c r="B131" s="95"/>
      <c r="C131" s="95"/>
      <c r="D131" s="96"/>
      <c r="E131" s="96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7"/>
      <c r="R131" s="97"/>
      <c r="S131" s="97"/>
      <c r="T131" s="97"/>
      <c r="U131" s="99">
        <v>1</v>
      </c>
      <c r="V131" s="99">
        <v>1</v>
      </c>
      <c r="W131" s="99">
        <v>1</v>
      </c>
      <c r="X131" s="99">
        <v>1</v>
      </c>
      <c r="Y131" s="100"/>
      <c r="Z131" s="100"/>
      <c r="AA131" s="100"/>
      <c r="AB131" s="100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7"/>
      <c r="AN131" s="95"/>
      <c r="AO131" s="95"/>
      <c r="AP131" s="101"/>
      <c r="AQ131" s="101"/>
      <c r="AR131" s="101"/>
      <c r="AS131" s="101"/>
      <c r="AT131" s="101">
        <v>0.5</v>
      </c>
      <c r="AU131" s="101">
        <v>0.5</v>
      </c>
      <c r="AV131" s="95">
        <v>1</v>
      </c>
      <c r="AW131" s="95"/>
      <c r="AX131" s="95"/>
      <c r="AY131" s="95">
        <v>1</v>
      </c>
      <c r="AZ131" s="101">
        <v>0.49224800000000002</v>
      </c>
      <c r="BA131" s="101" t="s">
        <v>124</v>
      </c>
      <c r="BB131" s="95"/>
      <c r="BC131" s="95"/>
      <c r="BD131" s="95"/>
      <c r="BE131" s="95"/>
      <c r="BF131" s="95"/>
      <c r="BG131" s="101"/>
      <c r="BH131" s="95"/>
      <c r="BI131" s="101"/>
      <c r="BJ131" s="95">
        <v>0.4</v>
      </c>
      <c r="BK131" s="95">
        <v>0.4</v>
      </c>
      <c r="BL131" s="95"/>
      <c r="BM131" s="95"/>
      <c r="BN131" s="95"/>
      <c r="BO131" s="101"/>
      <c r="BP131" s="101"/>
      <c r="BQ131" s="101"/>
      <c r="BR131" s="101">
        <v>0.5</v>
      </c>
      <c r="BS131" s="101">
        <v>0.5</v>
      </c>
      <c r="BT131" s="95"/>
      <c r="BU131" s="95"/>
      <c r="BV131" s="103"/>
      <c r="BW131" s="103"/>
      <c r="BX131" s="103"/>
      <c r="BY131" s="103"/>
      <c r="BZ131" s="101"/>
      <c r="CA131" s="103"/>
      <c r="CB131" s="103"/>
      <c r="CC131" s="103"/>
      <c r="CD131" s="103"/>
      <c r="CE131" s="103"/>
      <c r="CF131" s="103"/>
      <c r="CG131" s="101"/>
      <c r="CH131" s="101"/>
      <c r="CI131" s="103"/>
      <c r="CJ131" s="103"/>
      <c r="CK131" s="101"/>
      <c r="CL131" s="101"/>
      <c r="CM131" s="101"/>
      <c r="CN131" s="101"/>
      <c r="CO131" s="103"/>
      <c r="CP131" s="103"/>
      <c r="CQ131" s="101"/>
      <c r="CR131" s="103"/>
      <c r="CS131" s="103"/>
      <c r="CT131" s="103"/>
      <c r="CU131" s="103"/>
      <c r="CV131" s="103"/>
      <c r="CW131" s="103"/>
      <c r="CX131" s="103"/>
      <c r="CY131" s="103"/>
      <c r="CZ131" s="103"/>
      <c r="DA131" s="103"/>
      <c r="DB131" s="103"/>
      <c r="DC131" s="103"/>
      <c r="DD131" s="103"/>
    </row>
    <row r="132" spans="1:108">
      <c r="A132" s="54">
        <v>120</v>
      </c>
      <c r="B132" s="95"/>
      <c r="C132" s="95"/>
      <c r="D132" s="96"/>
      <c r="E132" s="96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7"/>
      <c r="R132" s="97"/>
      <c r="S132" s="97"/>
      <c r="T132" s="97"/>
      <c r="U132" s="96"/>
      <c r="V132" s="96"/>
      <c r="W132" s="96"/>
      <c r="X132" s="96"/>
      <c r="Y132" s="107"/>
      <c r="Z132" s="107"/>
      <c r="AA132" s="107"/>
      <c r="AB132" s="107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7"/>
      <c r="AN132" s="95"/>
      <c r="AO132" s="95"/>
      <c r="AP132" s="101"/>
      <c r="AQ132" s="101"/>
      <c r="AR132" s="101"/>
      <c r="AS132" s="101"/>
      <c r="AT132" s="101">
        <v>1</v>
      </c>
      <c r="AU132" s="101">
        <v>1</v>
      </c>
      <c r="AV132" s="95"/>
      <c r="AW132" s="95"/>
      <c r="AX132" s="95"/>
      <c r="AY132" s="95"/>
      <c r="AZ132" s="101">
        <v>0.51422100000000004</v>
      </c>
      <c r="BA132" s="101" t="s">
        <v>125</v>
      </c>
      <c r="BB132" s="95"/>
      <c r="BC132" s="95"/>
      <c r="BD132" s="95"/>
      <c r="BE132" s="95"/>
      <c r="BF132" s="95"/>
      <c r="BG132" s="101"/>
      <c r="BH132" s="95"/>
      <c r="BI132" s="101"/>
      <c r="BJ132" s="95">
        <v>1</v>
      </c>
      <c r="BK132" s="95">
        <v>1</v>
      </c>
      <c r="BL132" s="95"/>
      <c r="BM132" s="95"/>
      <c r="BN132" s="95"/>
      <c r="BO132" s="101"/>
      <c r="BP132" s="101"/>
      <c r="BQ132" s="101"/>
      <c r="BR132" s="101">
        <v>1</v>
      </c>
      <c r="BS132" s="101">
        <v>1</v>
      </c>
      <c r="BT132" s="95"/>
      <c r="BU132" s="95"/>
      <c r="BV132" s="103"/>
      <c r="BW132" s="103"/>
      <c r="BX132" s="103"/>
      <c r="BY132" s="103"/>
      <c r="BZ132" s="101"/>
      <c r="CA132" s="103"/>
      <c r="CB132" s="103"/>
      <c r="CC132" s="103"/>
      <c r="CD132" s="103"/>
      <c r="CE132" s="103"/>
      <c r="CF132" s="103"/>
      <c r="CG132" s="101"/>
      <c r="CH132" s="101"/>
      <c r="CI132" s="103"/>
      <c r="CJ132" s="103"/>
      <c r="CK132" s="101"/>
      <c r="CL132" s="101"/>
      <c r="CM132" s="101"/>
      <c r="CN132" s="101"/>
      <c r="CO132" s="103"/>
      <c r="CP132" s="103"/>
      <c r="CQ132" s="101"/>
      <c r="CR132" s="103"/>
      <c r="CS132" s="103"/>
      <c r="CT132" s="103"/>
      <c r="CU132" s="103"/>
      <c r="CV132" s="103"/>
      <c r="CW132" s="103"/>
      <c r="CX132" s="103"/>
      <c r="CY132" s="103"/>
      <c r="CZ132" s="103"/>
      <c r="DA132" s="103"/>
      <c r="DB132" s="103"/>
      <c r="DC132" s="103"/>
      <c r="DD132" s="103"/>
    </row>
    <row r="133" spans="1:108">
      <c r="A133" s="54">
        <v>121</v>
      </c>
      <c r="B133" s="95"/>
      <c r="C133" s="95"/>
      <c r="D133" s="96"/>
      <c r="E133" s="96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7"/>
      <c r="R133" s="97"/>
      <c r="S133" s="97"/>
      <c r="T133" s="97"/>
      <c r="U133" s="96"/>
      <c r="V133" s="96"/>
      <c r="W133" s="96"/>
      <c r="X133" s="96"/>
      <c r="Y133" s="107"/>
      <c r="Z133" s="107"/>
      <c r="AA133" s="107"/>
      <c r="AB133" s="107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7"/>
      <c r="AN133" s="95"/>
      <c r="AO133" s="95"/>
      <c r="AP133" s="101"/>
      <c r="AQ133" s="101"/>
      <c r="AR133" s="101"/>
      <c r="AS133" s="101"/>
      <c r="AT133" s="101"/>
      <c r="AU133" s="101"/>
      <c r="AV133" s="95"/>
      <c r="AW133" s="95"/>
      <c r="AX133" s="95"/>
      <c r="AY133" s="95"/>
      <c r="AZ133" s="101">
        <v>0.53672200000000003</v>
      </c>
      <c r="BA133" s="101" t="s">
        <v>126</v>
      </c>
      <c r="BB133" s="95"/>
      <c r="BC133" s="95"/>
      <c r="BD133" s="95"/>
      <c r="BE133" s="95"/>
      <c r="BF133" s="95"/>
      <c r="BG133" s="101"/>
      <c r="BH133" s="95"/>
      <c r="BI133" s="101"/>
      <c r="BJ133" s="95"/>
      <c r="BK133" s="95"/>
      <c r="BL133" s="95"/>
      <c r="BM133" s="95"/>
      <c r="BN133" s="95"/>
      <c r="BO133" s="101"/>
      <c r="BP133" s="101"/>
      <c r="BQ133" s="101"/>
      <c r="BR133" s="101"/>
      <c r="BS133" s="101"/>
      <c r="BT133" s="95"/>
      <c r="BU133" s="95"/>
      <c r="BV133" s="103"/>
      <c r="BW133" s="103"/>
      <c r="BX133" s="103"/>
      <c r="BY133" s="103"/>
      <c r="BZ133" s="101"/>
      <c r="CA133" s="103"/>
      <c r="CB133" s="103"/>
      <c r="CC133" s="103"/>
      <c r="CD133" s="103"/>
      <c r="CE133" s="103"/>
      <c r="CF133" s="103"/>
      <c r="CG133" s="101"/>
      <c r="CH133" s="101"/>
      <c r="CI133" s="103"/>
      <c r="CJ133" s="103"/>
      <c r="CK133" s="101"/>
      <c r="CL133" s="101"/>
      <c r="CM133" s="101"/>
      <c r="CN133" s="101"/>
      <c r="CO133" s="103"/>
      <c r="CP133" s="103"/>
      <c r="CQ133" s="101"/>
      <c r="CR133" s="103"/>
      <c r="CS133" s="103"/>
      <c r="CT133" s="103"/>
      <c r="CU133" s="103"/>
      <c r="CV133" s="103"/>
      <c r="CW133" s="103"/>
      <c r="CX133" s="103"/>
      <c r="CY133" s="103"/>
      <c r="CZ133" s="103"/>
      <c r="DA133" s="103"/>
      <c r="DB133" s="103"/>
      <c r="DC133" s="103"/>
      <c r="DD133" s="103"/>
    </row>
    <row r="134" spans="1:108">
      <c r="A134" s="54">
        <v>122</v>
      </c>
      <c r="B134" s="95"/>
      <c r="C134" s="95"/>
      <c r="D134" s="96"/>
      <c r="E134" s="96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7"/>
      <c r="R134" s="97"/>
      <c r="S134" s="97"/>
      <c r="T134" s="97"/>
      <c r="U134" s="96"/>
      <c r="V134" s="96"/>
      <c r="W134" s="96"/>
      <c r="X134" s="96"/>
      <c r="Y134" s="107"/>
      <c r="Z134" s="107"/>
      <c r="AA134" s="107"/>
      <c r="AB134" s="107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7"/>
      <c r="AN134" s="95"/>
      <c r="AO134" s="95"/>
      <c r="AP134" s="101"/>
      <c r="AQ134" s="101"/>
      <c r="AR134" s="101"/>
      <c r="AS134" s="101"/>
      <c r="AT134" s="101"/>
      <c r="AU134" s="101"/>
      <c r="AV134" s="95"/>
      <c r="AW134" s="95"/>
      <c r="AX134" s="95"/>
      <c r="AY134" s="95"/>
      <c r="AZ134" s="101">
        <v>0.55974999999999997</v>
      </c>
      <c r="BA134" s="101" t="s">
        <v>127</v>
      </c>
      <c r="BB134" s="95"/>
      <c r="BC134" s="95"/>
      <c r="BD134" s="95"/>
      <c r="BE134" s="95"/>
      <c r="BF134" s="95"/>
      <c r="BG134" s="101"/>
      <c r="BH134" s="95"/>
      <c r="BI134" s="101"/>
      <c r="BJ134" s="95"/>
      <c r="BK134" s="95"/>
      <c r="BL134" s="95"/>
      <c r="BM134" s="95"/>
      <c r="BN134" s="95"/>
      <c r="BO134" s="101"/>
      <c r="BP134" s="101"/>
      <c r="BQ134" s="101"/>
      <c r="BR134" s="101"/>
      <c r="BS134" s="101"/>
      <c r="BT134" s="95"/>
      <c r="BU134" s="95"/>
      <c r="BV134" s="103"/>
      <c r="BW134" s="103"/>
      <c r="BX134" s="103"/>
      <c r="BY134" s="103"/>
      <c r="BZ134" s="101"/>
      <c r="CA134" s="103"/>
      <c r="CB134" s="103"/>
      <c r="CC134" s="103"/>
      <c r="CD134" s="103"/>
      <c r="CE134" s="103"/>
      <c r="CF134" s="103"/>
      <c r="CG134" s="101"/>
      <c r="CH134" s="101"/>
      <c r="CI134" s="103"/>
      <c r="CJ134" s="103"/>
      <c r="CK134" s="101"/>
      <c r="CL134" s="101"/>
      <c r="CM134" s="101"/>
      <c r="CN134" s="101"/>
      <c r="CO134" s="103"/>
      <c r="CP134" s="103"/>
      <c r="CQ134" s="101"/>
      <c r="CR134" s="103"/>
      <c r="CS134" s="103"/>
      <c r="CT134" s="103"/>
      <c r="CU134" s="103"/>
      <c r="CV134" s="103"/>
      <c r="CW134" s="103"/>
      <c r="CX134" s="103"/>
      <c r="CY134" s="103"/>
      <c r="CZ134" s="103"/>
      <c r="DA134" s="103"/>
      <c r="DB134" s="103"/>
      <c r="DC134" s="103"/>
      <c r="DD134" s="103"/>
    </row>
    <row r="135" spans="1:108">
      <c r="A135" s="54">
        <v>123</v>
      </c>
      <c r="B135" s="95"/>
      <c r="C135" s="95"/>
      <c r="D135" s="96"/>
      <c r="E135" s="96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7"/>
      <c r="R135" s="97"/>
      <c r="S135" s="97"/>
      <c r="T135" s="97"/>
      <c r="U135" s="96"/>
      <c r="V135" s="96"/>
      <c r="W135" s="96"/>
      <c r="X135" s="96"/>
      <c r="Y135" s="107"/>
      <c r="Z135" s="107"/>
      <c r="AA135" s="107"/>
      <c r="AB135" s="107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7"/>
      <c r="AN135" s="95"/>
      <c r="AO135" s="95"/>
      <c r="AP135" s="101"/>
      <c r="AQ135" s="101"/>
      <c r="AR135" s="101"/>
      <c r="AS135" s="101"/>
      <c r="AT135" s="101"/>
      <c r="AU135" s="101"/>
      <c r="AV135" s="95"/>
      <c r="AW135" s="95"/>
      <c r="AX135" s="95"/>
      <c r="AY135" s="95"/>
      <c r="AZ135" s="101">
        <v>0.58330599999999999</v>
      </c>
      <c r="BA135" s="101" t="s">
        <v>128</v>
      </c>
      <c r="BB135" s="95"/>
      <c r="BC135" s="95"/>
      <c r="BD135" s="95"/>
      <c r="BE135" s="95"/>
      <c r="BF135" s="95"/>
      <c r="BG135" s="101"/>
      <c r="BH135" s="95"/>
      <c r="BI135" s="101"/>
      <c r="BJ135" s="95"/>
      <c r="BK135" s="95"/>
      <c r="BL135" s="95"/>
      <c r="BM135" s="95"/>
      <c r="BN135" s="95"/>
      <c r="BO135" s="101"/>
      <c r="BP135" s="101"/>
      <c r="BQ135" s="101"/>
      <c r="BR135" s="101"/>
      <c r="BS135" s="101"/>
      <c r="BT135" s="95"/>
      <c r="BU135" s="95"/>
      <c r="BV135" s="103"/>
      <c r="BW135" s="103"/>
      <c r="BX135" s="103"/>
      <c r="BY135" s="103"/>
      <c r="BZ135" s="101"/>
      <c r="CA135" s="103"/>
      <c r="CB135" s="103"/>
      <c r="CC135" s="103"/>
      <c r="CD135" s="103"/>
      <c r="CE135" s="103"/>
      <c r="CF135" s="103"/>
      <c r="CG135" s="101"/>
      <c r="CH135" s="101"/>
      <c r="CI135" s="103"/>
      <c r="CJ135" s="103"/>
      <c r="CK135" s="101"/>
      <c r="CL135" s="101"/>
      <c r="CM135" s="101"/>
      <c r="CN135" s="101"/>
      <c r="CO135" s="103"/>
      <c r="CP135" s="103"/>
      <c r="CQ135" s="101"/>
      <c r="CR135" s="103"/>
      <c r="CS135" s="103"/>
      <c r="CT135" s="103"/>
      <c r="CU135" s="103"/>
      <c r="CV135" s="103"/>
      <c r="CW135" s="103"/>
      <c r="CX135" s="103"/>
      <c r="CY135" s="103"/>
      <c r="CZ135" s="103"/>
      <c r="DA135" s="103"/>
      <c r="DB135" s="103"/>
      <c r="DC135" s="103"/>
      <c r="DD135" s="103"/>
    </row>
    <row r="136" spans="1:108">
      <c r="A136" s="54">
        <v>124</v>
      </c>
      <c r="B136" s="95"/>
      <c r="C136" s="95"/>
      <c r="D136" s="96"/>
      <c r="E136" s="96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7"/>
      <c r="R136" s="97"/>
      <c r="S136" s="97"/>
      <c r="T136" s="97"/>
      <c r="U136" s="96"/>
      <c r="V136" s="96"/>
      <c r="W136" s="96"/>
      <c r="X136" s="96"/>
      <c r="Y136" s="107"/>
      <c r="Z136" s="107"/>
      <c r="AA136" s="107"/>
      <c r="AB136" s="107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7"/>
      <c r="AN136" s="95"/>
      <c r="AO136" s="95"/>
      <c r="AP136" s="101"/>
      <c r="AQ136" s="101"/>
      <c r="AR136" s="101"/>
      <c r="AS136" s="101"/>
      <c r="AT136" s="101"/>
      <c r="AU136" s="101"/>
      <c r="AV136" s="95"/>
      <c r="AW136" s="95"/>
      <c r="AX136" s="95"/>
      <c r="AY136" s="95"/>
      <c r="AZ136" s="101">
        <v>0.60739100000000001</v>
      </c>
      <c r="BA136" s="101" t="s">
        <v>129</v>
      </c>
      <c r="BB136" s="95"/>
      <c r="BC136" s="95"/>
      <c r="BD136" s="95"/>
      <c r="BE136" s="95"/>
      <c r="BF136" s="95"/>
      <c r="BG136" s="101"/>
      <c r="BH136" s="95"/>
      <c r="BI136" s="101"/>
      <c r="BJ136" s="95"/>
      <c r="BK136" s="95"/>
      <c r="BL136" s="95"/>
      <c r="BM136" s="95"/>
      <c r="BN136" s="95"/>
      <c r="BO136" s="101"/>
      <c r="BP136" s="101"/>
      <c r="BQ136" s="101"/>
      <c r="BR136" s="101"/>
      <c r="BS136" s="101"/>
      <c r="BT136" s="95"/>
      <c r="BU136" s="95"/>
      <c r="BV136" s="103"/>
      <c r="BW136" s="103"/>
      <c r="BX136" s="103"/>
      <c r="BY136" s="103"/>
      <c r="BZ136" s="101"/>
      <c r="CA136" s="103"/>
      <c r="CB136" s="103"/>
      <c r="CC136" s="103"/>
      <c r="CD136" s="103"/>
      <c r="CE136" s="103"/>
      <c r="CF136" s="103"/>
      <c r="CG136" s="101"/>
      <c r="CH136" s="101"/>
      <c r="CI136" s="103"/>
      <c r="CJ136" s="103"/>
      <c r="CK136" s="101"/>
      <c r="CL136" s="101"/>
      <c r="CM136" s="101"/>
      <c r="CN136" s="101"/>
      <c r="CO136" s="103"/>
      <c r="CP136" s="103"/>
      <c r="CQ136" s="101"/>
      <c r="CR136" s="103"/>
      <c r="CS136" s="103"/>
      <c r="CT136" s="103"/>
      <c r="CU136" s="103"/>
      <c r="CV136" s="103"/>
      <c r="CW136" s="103"/>
      <c r="CX136" s="103"/>
      <c r="CY136" s="103"/>
      <c r="CZ136" s="103"/>
      <c r="DA136" s="103"/>
      <c r="DB136" s="103"/>
      <c r="DC136" s="103"/>
      <c r="DD136" s="103"/>
    </row>
    <row r="137" spans="1:108">
      <c r="A137" s="54">
        <v>125</v>
      </c>
      <c r="B137" s="95"/>
      <c r="C137" s="95"/>
      <c r="D137" s="96"/>
      <c r="E137" s="96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7"/>
      <c r="R137" s="97"/>
      <c r="S137" s="97"/>
      <c r="T137" s="97"/>
      <c r="U137" s="96"/>
      <c r="V137" s="96"/>
      <c r="W137" s="96"/>
      <c r="X137" s="96"/>
      <c r="Y137" s="107"/>
      <c r="Z137" s="107"/>
      <c r="AA137" s="107"/>
      <c r="AB137" s="107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7"/>
      <c r="AN137" s="95"/>
      <c r="AO137" s="95"/>
      <c r="AP137" s="101"/>
      <c r="AQ137" s="101"/>
      <c r="AR137" s="101"/>
      <c r="AS137" s="101"/>
      <c r="AT137" s="101"/>
      <c r="AU137" s="101"/>
      <c r="AV137" s="95"/>
      <c r="AW137" s="95"/>
      <c r="AX137" s="95"/>
      <c r="AY137" s="95"/>
      <c r="AZ137" s="101">
        <v>0.63200299999999998</v>
      </c>
      <c r="BA137" s="101" t="s">
        <v>130</v>
      </c>
      <c r="BB137" s="95"/>
      <c r="BC137" s="95"/>
      <c r="BD137" s="95"/>
      <c r="BE137" s="95"/>
      <c r="BF137" s="95"/>
      <c r="BG137" s="101"/>
      <c r="BH137" s="95"/>
      <c r="BI137" s="101"/>
      <c r="BJ137" s="95"/>
      <c r="BK137" s="95"/>
      <c r="BL137" s="95"/>
      <c r="BM137" s="95"/>
      <c r="BN137" s="95"/>
      <c r="BO137" s="101"/>
      <c r="BP137" s="101"/>
      <c r="BQ137" s="101"/>
      <c r="BR137" s="101"/>
      <c r="BS137" s="101"/>
      <c r="BT137" s="95"/>
      <c r="BU137" s="95"/>
      <c r="BV137" s="103"/>
      <c r="BW137" s="103"/>
      <c r="BX137" s="103"/>
      <c r="BY137" s="103"/>
      <c r="BZ137" s="101"/>
      <c r="CA137" s="103"/>
      <c r="CB137" s="103"/>
      <c r="CC137" s="103"/>
      <c r="CD137" s="103"/>
      <c r="CE137" s="103"/>
      <c r="CF137" s="103"/>
      <c r="CG137" s="101"/>
      <c r="CH137" s="101"/>
      <c r="CI137" s="103"/>
      <c r="CJ137" s="103"/>
      <c r="CK137" s="101"/>
      <c r="CL137" s="101"/>
      <c r="CM137" s="101"/>
      <c r="CN137" s="101"/>
      <c r="CO137" s="103"/>
      <c r="CP137" s="103"/>
      <c r="CQ137" s="101"/>
      <c r="CR137" s="103"/>
      <c r="CS137" s="103"/>
      <c r="CT137" s="103"/>
      <c r="CU137" s="103"/>
      <c r="CV137" s="103"/>
      <c r="CW137" s="103"/>
      <c r="CX137" s="103"/>
      <c r="CY137" s="103"/>
      <c r="CZ137" s="103"/>
      <c r="DA137" s="103"/>
      <c r="DB137" s="103"/>
      <c r="DC137" s="103"/>
      <c r="DD137" s="103"/>
    </row>
    <row r="138" spans="1:108">
      <c r="A138" s="54">
        <v>126</v>
      </c>
      <c r="B138" s="95"/>
      <c r="C138" s="95"/>
      <c r="D138" s="96"/>
      <c r="E138" s="96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7"/>
      <c r="R138" s="97"/>
      <c r="S138" s="97"/>
      <c r="T138" s="97"/>
      <c r="U138" s="96"/>
      <c r="V138" s="96"/>
      <c r="W138" s="96"/>
      <c r="X138" s="96"/>
      <c r="Y138" s="107"/>
      <c r="Z138" s="107"/>
      <c r="AA138" s="107"/>
      <c r="AB138" s="107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7"/>
      <c r="AN138" s="95"/>
      <c r="AO138" s="95"/>
      <c r="AP138" s="101"/>
      <c r="AQ138" s="101"/>
      <c r="AR138" s="101"/>
      <c r="AS138" s="101"/>
      <c r="AT138" s="101"/>
      <c r="AU138" s="101"/>
      <c r="AV138" s="95"/>
      <c r="AW138" s="95"/>
      <c r="AX138" s="95"/>
      <c r="AY138" s="95"/>
      <c r="AZ138" s="101">
        <v>1</v>
      </c>
      <c r="BA138" s="101" t="s">
        <v>131</v>
      </c>
      <c r="BB138" s="95"/>
      <c r="BC138" s="95"/>
      <c r="BD138" s="95"/>
      <c r="BE138" s="95"/>
      <c r="BF138" s="95"/>
      <c r="BG138" s="101"/>
      <c r="BH138" s="95"/>
      <c r="BI138" s="101"/>
      <c r="BJ138" s="95"/>
      <c r="BK138" s="95"/>
      <c r="BL138" s="95"/>
      <c r="BM138" s="95"/>
      <c r="BN138" s="95"/>
      <c r="BO138" s="101"/>
      <c r="BP138" s="101"/>
      <c r="BQ138" s="101"/>
      <c r="BR138" s="101"/>
      <c r="BS138" s="101"/>
      <c r="BT138" s="95"/>
      <c r="BU138" s="95"/>
      <c r="BV138" s="103"/>
      <c r="BW138" s="103"/>
      <c r="BX138" s="103"/>
      <c r="BY138" s="103"/>
      <c r="BZ138" s="101"/>
      <c r="CA138" s="103"/>
      <c r="CB138" s="103"/>
      <c r="CC138" s="103"/>
      <c r="CD138" s="103"/>
      <c r="CE138" s="103"/>
      <c r="CF138" s="103"/>
      <c r="CG138" s="101"/>
      <c r="CH138" s="101"/>
      <c r="CI138" s="103"/>
      <c r="CJ138" s="103"/>
      <c r="CK138" s="101"/>
      <c r="CL138" s="101"/>
      <c r="CM138" s="101"/>
      <c r="CN138" s="101"/>
      <c r="CO138" s="103"/>
      <c r="CP138" s="103"/>
      <c r="CQ138" s="101"/>
      <c r="CR138" s="103"/>
      <c r="CS138" s="103"/>
      <c r="CT138" s="103"/>
      <c r="CU138" s="103"/>
      <c r="CV138" s="103"/>
      <c r="CW138" s="103"/>
      <c r="CX138" s="103"/>
      <c r="CY138" s="103"/>
      <c r="CZ138" s="103"/>
      <c r="DA138" s="103"/>
      <c r="DB138" s="103"/>
      <c r="DC138" s="103"/>
      <c r="DD138" s="103"/>
    </row>
    <row r="139" spans="1:108"/>
    <row r="140" spans="1:108"/>
    <row r="141" spans="1:108"/>
    <row r="142" spans="1:108"/>
    <row r="143" spans="1:108"/>
  </sheetData>
  <printOptions horizontalCentered="1"/>
  <pageMargins left="0.51181102362204722" right="0.51181102362204722" top="0.78740157480314965" bottom="0.78740157480314965" header="0.31496062992125984" footer="0.31496062992125984"/>
  <pageSetup paperSize="9" scale="60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DZ82"/>
  <sheetViews>
    <sheetView workbookViewId="0">
      <pane xSplit="3" ySplit="6" topLeftCell="D21" activePane="bottomRight" state="frozen"/>
      <selection activeCell="DW8" sqref="DW8"/>
      <selection pane="topRight" activeCell="DW8" sqref="DW8"/>
      <selection pane="bottomLeft" activeCell="DW8" sqref="DW8"/>
      <selection pane="bottomRight" activeCell="B2" sqref="B2"/>
    </sheetView>
  </sheetViews>
  <sheetFormatPr defaultRowHeight="15"/>
  <cols>
    <col min="1" max="1" width="22.85546875" style="1" customWidth="1"/>
    <col min="2" max="2" width="27.42578125" style="1" bestFit="1" customWidth="1"/>
    <col min="3" max="3" width="19.5703125" style="1" bestFit="1" customWidth="1"/>
    <col min="4" max="84" width="11.5703125" style="1" bestFit="1" customWidth="1"/>
    <col min="85" max="124" width="10.5703125" style="1" bestFit="1" customWidth="1"/>
    <col min="125" max="130" width="10" style="1" bestFit="1" customWidth="1"/>
    <col min="131" max="16384" width="9.140625" style="1"/>
  </cols>
  <sheetData>
    <row r="1" spans="1:130">
      <c r="E1" s="47"/>
      <c r="F1" s="1" t="s">
        <v>231</v>
      </c>
    </row>
    <row r="2" spans="1:130" ht="18.75">
      <c r="A2" s="34"/>
      <c r="B2" s="34" t="s">
        <v>221</v>
      </c>
      <c r="E2" s="37"/>
      <c r="F2" s="1" t="s">
        <v>232</v>
      </c>
    </row>
    <row r="3" spans="1:130" ht="18.75">
      <c r="A3" s="34"/>
      <c r="B3" s="34"/>
      <c r="E3" s="16"/>
      <c r="F3" s="1" t="s">
        <v>234</v>
      </c>
    </row>
    <row r="4" spans="1:130" ht="18.75">
      <c r="A4" s="34"/>
      <c r="B4" s="34"/>
      <c r="E4" s="27"/>
      <c r="F4" s="1" t="s">
        <v>235</v>
      </c>
    </row>
    <row r="6" spans="1:130">
      <c r="A6" s="2" t="s">
        <v>193</v>
      </c>
      <c r="B6" s="2" t="s">
        <v>1</v>
      </c>
      <c r="C6" s="2" t="s">
        <v>2</v>
      </c>
      <c r="D6" s="3">
        <v>0</v>
      </c>
      <c r="E6" s="3">
        <f t="shared" ref="E6:AJ6" si="0">D6+1</f>
        <v>1</v>
      </c>
      <c r="F6" s="3">
        <f t="shared" si="0"/>
        <v>2</v>
      </c>
      <c r="G6" s="3">
        <f t="shared" si="0"/>
        <v>3</v>
      </c>
      <c r="H6" s="3">
        <f t="shared" si="0"/>
        <v>4</v>
      </c>
      <c r="I6" s="3">
        <f t="shared" si="0"/>
        <v>5</v>
      </c>
      <c r="J6" s="3">
        <f t="shared" si="0"/>
        <v>6</v>
      </c>
      <c r="K6" s="3">
        <f t="shared" si="0"/>
        <v>7</v>
      </c>
      <c r="L6" s="3">
        <f t="shared" si="0"/>
        <v>8</v>
      </c>
      <c r="M6" s="3">
        <f t="shared" si="0"/>
        <v>9</v>
      </c>
      <c r="N6" s="3">
        <f t="shared" si="0"/>
        <v>10</v>
      </c>
      <c r="O6" s="3">
        <f t="shared" si="0"/>
        <v>11</v>
      </c>
      <c r="P6" s="3">
        <f t="shared" si="0"/>
        <v>12</v>
      </c>
      <c r="Q6" s="3">
        <f t="shared" si="0"/>
        <v>13</v>
      </c>
      <c r="R6" s="3">
        <f t="shared" si="0"/>
        <v>14</v>
      </c>
      <c r="S6" s="3">
        <f t="shared" si="0"/>
        <v>15</v>
      </c>
      <c r="T6" s="3">
        <f t="shared" si="0"/>
        <v>16</v>
      </c>
      <c r="U6" s="3">
        <f t="shared" si="0"/>
        <v>17</v>
      </c>
      <c r="V6" s="3">
        <f t="shared" si="0"/>
        <v>18</v>
      </c>
      <c r="W6" s="3">
        <f t="shared" si="0"/>
        <v>19</v>
      </c>
      <c r="X6" s="3">
        <f t="shared" si="0"/>
        <v>20</v>
      </c>
      <c r="Y6" s="3">
        <f t="shared" si="0"/>
        <v>21</v>
      </c>
      <c r="Z6" s="3">
        <f t="shared" si="0"/>
        <v>22</v>
      </c>
      <c r="AA6" s="3">
        <f t="shared" si="0"/>
        <v>23</v>
      </c>
      <c r="AB6" s="3">
        <f t="shared" si="0"/>
        <v>24</v>
      </c>
      <c r="AC6" s="3">
        <f t="shared" si="0"/>
        <v>25</v>
      </c>
      <c r="AD6" s="3">
        <f t="shared" si="0"/>
        <v>26</v>
      </c>
      <c r="AE6" s="3">
        <f t="shared" si="0"/>
        <v>27</v>
      </c>
      <c r="AF6" s="3">
        <f t="shared" si="0"/>
        <v>28</v>
      </c>
      <c r="AG6" s="3">
        <f t="shared" si="0"/>
        <v>29</v>
      </c>
      <c r="AH6" s="3">
        <f t="shared" si="0"/>
        <v>30</v>
      </c>
      <c r="AI6" s="3">
        <f t="shared" si="0"/>
        <v>31</v>
      </c>
      <c r="AJ6" s="3">
        <f t="shared" si="0"/>
        <v>32</v>
      </c>
      <c r="AK6" s="3">
        <f t="shared" ref="AK6:BP6" si="1">AJ6+1</f>
        <v>33</v>
      </c>
      <c r="AL6" s="3">
        <f t="shared" si="1"/>
        <v>34</v>
      </c>
      <c r="AM6" s="3">
        <f t="shared" si="1"/>
        <v>35</v>
      </c>
      <c r="AN6" s="3">
        <f t="shared" si="1"/>
        <v>36</v>
      </c>
      <c r="AO6" s="3">
        <f t="shared" si="1"/>
        <v>37</v>
      </c>
      <c r="AP6" s="3">
        <f t="shared" si="1"/>
        <v>38</v>
      </c>
      <c r="AQ6" s="3">
        <f t="shared" si="1"/>
        <v>39</v>
      </c>
      <c r="AR6" s="3">
        <f t="shared" si="1"/>
        <v>40</v>
      </c>
      <c r="AS6" s="3">
        <f t="shared" si="1"/>
        <v>41</v>
      </c>
      <c r="AT6" s="3">
        <f t="shared" si="1"/>
        <v>42</v>
      </c>
      <c r="AU6" s="3">
        <f t="shared" si="1"/>
        <v>43</v>
      </c>
      <c r="AV6" s="3">
        <f t="shared" si="1"/>
        <v>44</v>
      </c>
      <c r="AW6" s="3">
        <f t="shared" si="1"/>
        <v>45</v>
      </c>
      <c r="AX6" s="3">
        <f t="shared" si="1"/>
        <v>46</v>
      </c>
      <c r="AY6" s="3">
        <f t="shared" si="1"/>
        <v>47</v>
      </c>
      <c r="AZ6" s="3">
        <f t="shared" si="1"/>
        <v>48</v>
      </c>
      <c r="BA6" s="3">
        <f t="shared" si="1"/>
        <v>49</v>
      </c>
      <c r="BB6" s="3">
        <f t="shared" si="1"/>
        <v>50</v>
      </c>
      <c r="BC6" s="3">
        <f t="shared" si="1"/>
        <v>51</v>
      </c>
      <c r="BD6" s="3">
        <f t="shared" si="1"/>
        <v>52</v>
      </c>
      <c r="BE6" s="3">
        <f t="shared" si="1"/>
        <v>53</v>
      </c>
      <c r="BF6" s="3">
        <f t="shared" si="1"/>
        <v>54</v>
      </c>
      <c r="BG6" s="3">
        <f t="shared" si="1"/>
        <v>55</v>
      </c>
      <c r="BH6" s="3">
        <f t="shared" si="1"/>
        <v>56</v>
      </c>
      <c r="BI6" s="3">
        <f t="shared" si="1"/>
        <v>57</v>
      </c>
      <c r="BJ6" s="3">
        <f t="shared" si="1"/>
        <v>58</v>
      </c>
      <c r="BK6" s="3">
        <f t="shared" si="1"/>
        <v>59</v>
      </c>
      <c r="BL6" s="3">
        <f t="shared" si="1"/>
        <v>60</v>
      </c>
      <c r="BM6" s="3">
        <f t="shared" si="1"/>
        <v>61</v>
      </c>
      <c r="BN6" s="3">
        <f t="shared" si="1"/>
        <v>62</v>
      </c>
      <c r="BO6" s="3">
        <f t="shared" si="1"/>
        <v>63</v>
      </c>
      <c r="BP6" s="3">
        <f t="shared" si="1"/>
        <v>64</v>
      </c>
      <c r="BQ6" s="3">
        <f t="shared" ref="BQ6:CV6" si="2">BP6+1</f>
        <v>65</v>
      </c>
      <c r="BR6" s="3">
        <f t="shared" si="2"/>
        <v>66</v>
      </c>
      <c r="BS6" s="3">
        <f t="shared" si="2"/>
        <v>67</v>
      </c>
      <c r="BT6" s="3">
        <f t="shared" si="2"/>
        <v>68</v>
      </c>
      <c r="BU6" s="3">
        <f t="shared" si="2"/>
        <v>69</v>
      </c>
      <c r="BV6" s="3">
        <f t="shared" si="2"/>
        <v>70</v>
      </c>
      <c r="BW6" s="3">
        <f t="shared" si="2"/>
        <v>71</v>
      </c>
      <c r="BX6" s="3">
        <f t="shared" si="2"/>
        <v>72</v>
      </c>
      <c r="BY6" s="3">
        <f t="shared" si="2"/>
        <v>73</v>
      </c>
      <c r="BZ6" s="3">
        <f t="shared" si="2"/>
        <v>74</v>
      </c>
      <c r="CA6" s="3">
        <f t="shared" si="2"/>
        <v>75</v>
      </c>
      <c r="CB6" s="3">
        <f t="shared" si="2"/>
        <v>76</v>
      </c>
      <c r="CC6" s="3">
        <f t="shared" si="2"/>
        <v>77</v>
      </c>
      <c r="CD6" s="3">
        <f t="shared" si="2"/>
        <v>78</v>
      </c>
      <c r="CE6" s="3">
        <f t="shared" si="2"/>
        <v>79</v>
      </c>
      <c r="CF6" s="3">
        <f t="shared" si="2"/>
        <v>80</v>
      </c>
      <c r="CG6" s="3">
        <f t="shared" si="2"/>
        <v>81</v>
      </c>
      <c r="CH6" s="3">
        <f t="shared" si="2"/>
        <v>82</v>
      </c>
      <c r="CI6" s="3">
        <f t="shared" si="2"/>
        <v>83</v>
      </c>
      <c r="CJ6" s="3">
        <f t="shared" si="2"/>
        <v>84</v>
      </c>
      <c r="CK6" s="3">
        <f t="shared" si="2"/>
        <v>85</v>
      </c>
      <c r="CL6" s="3">
        <f t="shared" si="2"/>
        <v>86</v>
      </c>
      <c r="CM6" s="3">
        <f t="shared" si="2"/>
        <v>87</v>
      </c>
      <c r="CN6" s="3">
        <f t="shared" si="2"/>
        <v>88</v>
      </c>
      <c r="CO6" s="3">
        <f t="shared" si="2"/>
        <v>89</v>
      </c>
      <c r="CP6" s="3">
        <f t="shared" si="2"/>
        <v>90</v>
      </c>
      <c r="CQ6" s="3">
        <f t="shared" si="2"/>
        <v>91</v>
      </c>
      <c r="CR6" s="3">
        <f t="shared" si="2"/>
        <v>92</v>
      </c>
      <c r="CS6" s="3">
        <f t="shared" si="2"/>
        <v>93</v>
      </c>
      <c r="CT6" s="3">
        <f t="shared" si="2"/>
        <v>94</v>
      </c>
      <c r="CU6" s="3">
        <f t="shared" si="2"/>
        <v>95</v>
      </c>
      <c r="CV6" s="3">
        <f t="shared" si="2"/>
        <v>96</v>
      </c>
      <c r="CW6" s="3">
        <f t="shared" ref="CW6:DZ6" si="3">CV6+1</f>
        <v>97</v>
      </c>
      <c r="CX6" s="3">
        <f t="shared" si="3"/>
        <v>98</v>
      </c>
      <c r="CY6" s="3">
        <f t="shared" si="3"/>
        <v>99</v>
      </c>
      <c r="CZ6" s="3">
        <f t="shared" si="3"/>
        <v>100</v>
      </c>
      <c r="DA6" s="3">
        <f t="shared" si="3"/>
        <v>101</v>
      </c>
      <c r="DB6" s="3">
        <f t="shared" si="3"/>
        <v>102</v>
      </c>
      <c r="DC6" s="3">
        <f t="shared" si="3"/>
        <v>103</v>
      </c>
      <c r="DD6" s="3">
        <f t="shared" si="3"/>
        <v>104</v>
      </c>
      <c r="DE6" s="3">
        <f t="shared" si="3"/>
        <v>105</v>
      </c>
      <c r="DF6" s="3">
        <f t="shared" si="3"/>
        <v>106</v>
      </c>
      <c r="DG6" s="3">
        <f t="shared" si="3"/>
        <v>107</v>
      </c>
      <c r="DH6" s="3">
        <f t="shared" si="3"/>
        <v>108</v>
      </c>
      <c r="DI6" s="3">
        <f t="shared" si="3"/>
        <v>109</v>
      </c>
      <c r="DJ6" s="3">
        <f t="shared" si="3"/>
        <v>110</v>
      </c>
      <c r="DK6" s="3">
        <f t="shared" si="3"/>
        <v>111</v>
      </c>
      <c r="DL6" s="3">
        <f t="shared" si="3"/>
        <v>112</v>
      </c>
      <c r="DM6" s="3">
        <f t="shared" si="3"/>
        <v>113</v>
      </c>
      <c r="DN6" s="3">
        <f t="shared" si="3"/>
        <v>114</v>
      </c>
      <c r="DO6" s="3">
        <f t="shared" si="3"/>
        <v>115</v>
      </c>
      <c r="DP6" s="3">
        <f t="shared" si="3"/>
        <v>116</v>
      </c>
      <c r="DQ6" s="3">
        <f t="shared" si="3"/>
        <v>117</v>
      </c>
      <c r="DR6" s="3">
        <f t="shared" si="3"/>
        <v>118</v>
      </c>
      <c r="DS6" s="3">
        <f t="shared" si="3"/>
        <v>119</v>
      </c>
      <c r="DT6" s="3">
        <f t="shared" si="3"/>
        <v>120</v>
      </c>
      <c r="DU6" s="3">
        <f t="shared" si="3"/>
        <v>121</v>
      </c>
      <c r="DV6" s="3">
        <f t="shared" si="3"/>
        <v>122</v>
      </c>
      <c r="DW6" s="3">
        <f t="shared" si="3"/>
        <v>123</v>
      </c>
      <c r="DX6" s="3">
        <f t="shared" si="3"/>
        <v>124</v>
      </c>
      <c r="DY6" s="3">
        <f t="shared" si="3"/>
        <v>125</v>
      </c>
      <c r="DZ6" s="3">
        <f t="shared" si="3"/>
        <v>126</v>
      </c>
    </row>
    <row r="7" spans="1:130">
      <c r="A7" s="2" t="s">
        <v>204</v>
      </c>
      <c r="B7" s="4" t="s">
        <v>146</v>
      </c>
      <c r="C7" s="2"/>
      <c r="D7" s="11" t="s">
        <v>206</v>
      </c>
      <c r="E7" s="11" t="s">
        <v>206</v>
      </c>
      <c r="F7" s="11" t="s">
        <v>206</v>
      </c>
      <c r="G7" s="11" t="s">
        <v>206</v>
      </c>
      <c r="H7" s="11" t="s">
        <v>206</v>
      </c>
      <c r="I7" s="11" t="s">
        <v>206</v>
      </c>
      <c r="J7" s="11" t="s">
        <v>206</v>
      </c>
      <c r="K7" s="11" t="s">
        <v>206</v>
      </c>
      <c r="L7" s="11" t="s">
        <v>206</v>
      </c>
      <c r="M7" s="11" t="s">
        <v>206</v>
      </c>
      <c r="N7" s="11" t="s">
        <v>206</v>
      </c>
      <c r="O7" s="11" t="s">
        <v>206</v>
      </c>
      <c r="P7" s="11" t="s">
        <v>206</v>
      </c>
      <c r="Q7" s="11" t="s">
        <v>206</v>
      </c>
      <c r="R7" s="11">
        <v>6.4999999999999997E-4</v>
      </c>
      <c r="S7" s="11">
        <v>6.2E-4</v>
      </c>
      <c r="T7" s="11">
        <v>8.4999999999999995E-4</v>
      </c>
      <c r="U7" s="11">
        <v>1.1199999999999999E-3</v>
      </c>
      <c r="V7" s="11">
        <v>1.32E-3</v>
      </c>
      <c r="W7" s="11">
        <v>1.3500000000000001E-3</v>
      </c>
      <c r="X7" s="11">
        <v>1.32E-3</v>
      </c>
      <c r="Y7" s="11">
        <v>1.2800000000000001E-3</v>
      </c>
      <c r="Z7" s="11">
        <v>1.1199999999999999E-3</v>
      </c>
      <c r="AA7" s="11">
        <v>1.17E-3</v>
      </c>
      <c r="AB7" s="11">
        <v>1.14E-3</v>
      </c>
      <c r="AC7" s="11">
        <v>1.1199999999999999E-3</v>
      </c>
      <c r="AD7" s="11">
        <v>1.1100000000000001E-3</v>
      </c>
      <c r="AE7" s="11">
        <v>1.1199999999999999E-3</v>
      </c>
      <c r="AF7" s="11">
        <v>1.15E-3</v>
      </c>
      <c r="AG7" s="11">
        <v>1.1800000000000001E-3</v>
      </c>
      <c r="AH7" s="11">
        <v>1.23E-3</v>
      </c>
      <c r="AI7" s="11">
        <v>1.2800000000000001E-3</v>
      </c>
      <c r="AJ7" s="11">
        <v>1.34E-3</v>
      </c>
      <c r="AK7" s="11">
        <v>1.41E-3</v>
      </c>
      <c r="AL7" s="11">
        <v>1.5E-3</v>
      </c>
      <c r="AM7" s="11">
        <v>1.6199999999999999E-3</v>
      </c>
      <c r="AN7" s="11">
        <v>1.7600000000000001E-3</v>
      </c>
      <c r="AO7" s="11">
        <v>1.91E-3</v>
      </c>
      <c r="AP7" s="11">
        <v>2.0899999999999998E-3</v>
      </c>
      <c r="AQ7" s="11">
        <v>2.2799999999999999E-3</v>
      </c>
      <c r="AR7" s="11">
        <v>2.48E-3</v>
      </c>
      <c r="AS7" s="11">
        <v>2.7100000000000002E-3</v>
      </c>
      <c r="AT7" s="11">
        <v>2.9299999999999999E-3</v>
      </c>
      <c r="AU7" s="11">
        <v>3.1800000000000001E-3</v>
      </c>
      <c r="AV7" s="11">
        <v>3.46E-3</v>
      </c>
      <c r="AW7" s="11">
        <v>3.7599999999999999E-3</v>
      </c>
      <c r="AX7" s="11">
        <v>4.1200000000000004E-3</v>
      </c>
      <c r="AY7" s="11">
        <v>4.5500000000000002E-3</v>
      </c>
      <c r="AZ7" s="11">
        <v>5.0200000000000002E-3</v>
      </c>
      <c r="BA7" s="11">
        <v>5.5399999999999998E-3</v>
      </c>
      <c r="BB7" s="11">
        <v>6.1000000000000004E-3</v>
      </c>
      <c r="BC7" s="11">
        <v>6.6299999999999996E-3</v>
      </c>
      <c r="BD7" s="11">
        <v>7.1700000000000002E-3</v>
      </c>
      <c r="BE7" s="11">
        <v>7.7299999999999999E-3</v>
      </c>
      <c r="BF7" s="11">
        <v>8.3700000000000007E-3</v>
      </c>
      <c r="BG7" s="11">
        <v>9.11E-3</v>
      </c>
      <c r="BH7" s="11">
        <v>0.01</v>
      </c>
      <c r="BI7" s="11">
        <v>1.1010000000000001E-2</v>
      </c>
      <c r="BJ7" s="11">
        <v>1.2149999999999999E-2</v>
      </c>
      <c r="BK7" s="11">
        <v>1.3310000000000001E-2</v>
      </c>
      <c r="BL7" s="11">
        <v>1.487E-2</v>
      </c>
      <c r="BM7" s="11">
        <v>1.6490000000000001E-2</v>
      </c>
      <c r="BN7" s="11">
        <v>1.831E-2</v>
      </c>
      <c r="BO7" s="11">
        <v>2.034E-2</v>
      </c>
      <c r="BP7" s="11">
        <v>2.2599999999999999E-2</v>
      </c>
      <c r="BQ7" s="11">
        <v>2.5069999999999999E-2</v>
      </c>
      <c r="BR7" s="11">
        <v>2.777E-2</v>
      </c>
      <c r="BS7" s="11">
        <v>3.0700000000000002E-2</v>
      </c>
      <c r="BT7" s="11">
        <v>3.39E-2</v>
      </c>
      <c r="BU7" s="11">
        <v>3.7409999999999999E-2</v>
      </c>
      <c r="BV7" s="11">
        <v>4.1230000000000003E-2</v>
      </c>
      <c r="BW7" s="11">
        <v>4.5400000000000003E-2</v>
      </c>
      <c r="BX7" s="11">
        <v>4.9939999999999998E-2</v>
      </c>
      <c r="BY7" s="11">
        <v>5.4899999999999997E-2</v>
      </c>
      <c r="BZ7" s="11">
        <v>6.0240000000000002E-2</v>
      </c>
      <c r="CA7" s="11">
        <v>6.6019999999999995E-2</v>
      </c>
      <c r="CB7" s="11">
        <v>7.2300000000000003E-2</v>
      </c>
      <c r="CC7" s="11">
        <v>7.9140000000000002E-2</v>
      </c>
      <c r="CD7" s="11">
        <v>8.6709999999999995E-2</v>
      </c>
      <c r="CE7" s="11">
        <v>9.5159999999999995E-2</v>
      </c>
      <c r="CF7" s="11">
        <v>0.10452</v>
      </c>
      <c r="CG7" s="11" t="s">
        <v>206</v>
      </c>
      <c r="CH7" s="11" t="s">
        <v>206</v>
      </c>
      <c r="CI7" s="11" t="s">
        <v>206</v>
      </c>
      <c r="CJ7" s="11" t="s">
        <v>206</v>
      </c>
      <c r="CK7" s="11" t="s">
        <v>206</v>
      </c>
      <c r="CL7" s="11" t="s">
        <v>206</v>
      </c>
      <c r="CM7" s="11" t="s">
        <v>206</v>
      </c>
      <c r="CN7" s="11" t="s">
        <v>206</v>
      </c>
      <c r="CO7" s="11" t="s">
        <v>206</v>
      </c>
      <c r="CP7" s="11" t="s">
        <v>206</v>
      </c>
      <c r="CQ7" s="11" t="s">
        <v>206</v>
      </c>
      <c r="CR7" s="11" t="s">
        <v>206</v>
      </c>
      <c r="CS7" s="11" t="s">
        <v>206</v>
      </c>
      <c r="CT7" s="11" t="s">
        <v>206</v>
      </c>
      <c r="CU7" s="11" t="s">
        <v>206</v>
      </c>
      <c r="CV7" s="11" t="s">
        <v>206</v>
      </c>
      <c r="CW7" s="11" t="s">
        <v>206</v>
      </c>
      <c r="CX7" s="11" t="s">
        <v>206</v>
      </c>
      <c r="CY7" s="11" t="s">
        <v>206</v>
      </c>
      <c r="CZ7" s="11" t="s">
        <v>206</v>
      </c>
      <c r="DA7" s="11" t="s">
        <v>206</v>
      </c>
      <c r="DB7" s="11" t="s">
        <v>206</v>
      </c>
      <c r="DC7" s="11" t="s">
        <v>206</v>
      </c>
      <c r="DD7" s="11" t="s">
        <v>206</v>
      </c>
      <c r="DE7" s="11" t="s">
        <v>206</v>
      </c>
      <c r="DF7" s="11" t="s">
        <v>206</v>
      </c>
      <c r="DG7" s="11" t="s">
        <v>206</v>
      </c>
      <c r="DH7" s="11" t="s">
        <v>206</v>
      </c>
      <c r="DI7" s="11" t="s">
        <v>206</v>
      </c>
      <c r="DJ7" s="11" t="s">
        <v>206</v>
      </c>
      <c r="DK7" s="11" t="s">
        <v>206</v>
      </c>
      <c r="DL7" s="11" t="s">
        <v>206</v>
      </c>
      <c r="DM7" s="11" t="s">
        <v>206</v>
      </c>
      <c r="DN7" s="11" t="s">
        <v>206</v>
      </c>
      <c r="DO7" s="11" t="s">
        <v>206</v>
      </c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</row>
    <row r="8" spans="1:130">
      <c r="A8" s="2" t="s">
        <v>204</v>
      </c>
      <c r="B8" s="4" t="s">
        <v>136</v>
      </c>
      <c r="C8" s="2"/>
      <c r="D8" s="11">
        <v>0.15469999999999998</v>
      </c>
      <c r="E8" s="11">
        <v>6.3490000000000005E-2</v>
      </c>
      <c r="F8" s="11">
        <v>3.5499999999999997E-2</v>
      </c>
      <c r="G8" s="11">
        <v>2.3910000000000001E-2</v>
      </c>
      <c r="H8" s="11">
        <v>1.77E-2</v>
      </c>
      <c r="I8" s="11">
        <v>1.3599999999999999E-2</v>
      </c>
      <c r="J8" s="11">
        <v>1.137E-2</v>
      </c>
      <c r="K8" s="11">
        <v>9.75E-3</v>
      </c>
      <c r="L8" s="11">
        <v>8.6300000000000005E-3</v>
      </c>
      <c r="M8" s="11">
        <v>7.9000000000000008E-3</v>
      </c>
      <c r="N8" s="11">
        <v>7.4900000000000001E-3</v>
      </c>
      <c r="O8" s="11">
        <v>7.5199999999999998E-3</v>
      </c>
      <c r="P8" s="11">
        <v>7.5399999999999998E-3</v>
      </c>
      <c r="Q8" s="11">
        <v>7.5700000000000003E-3</v>
      </c>
      <c r="R8" s="11">
        <v>7.6E-3</v>
      </c>
      <c r="S8" s="11">
        <v>7.6299999999999996E-3</v>
      </c>
      <c r="T8" s="11">
        <v>7.6600000000000001E-3</v>
      </c>
      <c r="U8" s="11">
        <v>7.6900000000000007E-3</v>
      </c>
      <c r="V8" s="11">
        <v>7.7300000000000008E-3</v>
      </c>
      <c r="W8" s="11">
        <v>7.77E-3</v>
      </c>
      <c r="X8" s="11">
        <v>7.7999999999999996E-3</v>
      </c>
      <c r="Y8" s="11">
        <v>7.8600000000000007E-3</v>
      </c>
      <c r="Z8" s="11">
        <v>7.9100000000000004E-3</v>
      </c>
      <c r="AA8" s="11">
        <v>7.9600000000000001E-3</v>
      </c>
      <c r="AB8" s="11">
        <v>8.0099999999999998E-3</v>
      </c>
      <c r="AC8" s="11">
        <v>8.0600000000000012E-3</v>
      </c>
      <c r="AD8" s="11">
        <v>8.1300000000000001E-3</v>
      </c>
      <c r="AE8" s="11">
        <v>8.199999999999999E-3</v>
      </c>
      <c r="AF8" s="11">
        <v>8.26E-3</v>
      </c>
      <c r="AG8" s="11">
        <v>8.3400000000000002E-3</v>
      </c>
      <c r="AH8" s="11">
        <v>8.43E-3</v>
      </c>
      <c r="AI8" s="11">
        <v>8.5100000000000002E-3</v>
      </c>
      <c r="AJ8" s="11">
        <v>8.6099999999999996E-3</v>
      </c>
      <c r="AK8" s="11">
        <v>8.7200000000000003E-3</v>
      </c>
      <c r="AL8" s="11">
        <v>8.8299999999999993E-3</v>
      </c>
      <c r="AM8" s="11">
        <v>8.9499999999999996E-3</v>
      </c>
      <c r="AN8" s="11">
        <v>9.0899999999999991E-3</v>
      </c>
      <c r="AO8" s="11">
        <v>9.2300000000000004E-3</v>
      </c>
      <c r="AP8" s="11">
        <v>9.41E-3</v>
      </c>
      <c r="AQ8" s="11">
        <v>9.5899999999999996E-3</v>
      </c>
      <c r="AR8" s="11">
        <v>9.7899999999999984E-3</v>
      </c>
      <c r="AS8" s="11">
        <v>1.001E-2</v>
      </c>
      <c r="AT8" s="11">
        <v>1.025E-2</v>
      </c>
      <c r="AU8" s="11">
        <v>1.052E-2</v>
      </c>
      <c r="AV8" s="11">
        <v>1.0829999999999999E-2</v>
      </c>
      <c r="AW8" s="11">
        <v>1.116E-2</v>
      </c>
      <c r="AX8" s="11">
        <v>1.1560000000000001E-2</v>
      </c>
      <c r="AY8" s="11">
        <v>1.2E-2</v>
      </c>
      <c r="AZ8" s="11">
        <v>1.251E-2</v>
      </c>
      <c r="BA8" s="11">
        <v>1.311E-2</v>
      </c>
      <c r="BB8" s="11">
        <v>1.3780000000000001E-2</v>
      </c>
      <c r="BC8" s="11">
        <v>1.4540000000000001E-2</v>
      </c>
      <c r="BD8" s="11">
        <v>1.5390000000000001E-2</v>
      </c>
      <c r="BE8" s="11">
        <v>1.6329999999999997E-2</v>
      </c>
      <c r="BF8" s="11">
        <v>1.7399999999999999E-2</v>
      </c>
      <c r="BG8" s="11">
        <v>1.857E-2</v>
      </c>
      <c r="BH8" s="11">
        <v>1.9890000000000001E-2</v>
      </c>
      <c r="BI8" s="11">
        <v>2.1340000000000001E-2</v>
      </c>
      <c r="BJ8" s="11">
        <v>2.2940000000000002E-2</v>
      </c>
      <c r="BK8" s="11">
        <v>2.4719999999999999E-2</v>
      </c>
      <c r="BL8" s="11">
        <v>2.6690000000000002E-2</v>
      </c>
      <c r="BM8" s="11">
        <v>2.8879999999999999E-2</v>
      </c>
      <c r="BN8" s="11">
        <v>3.1289999999999998E-2</v>
      </c>
      <c r="BO8" s="11">
        <v>3.3939999999999998E-2</v>
      </c>
      <c r="BP8" s="11">
        <v>3.687E-2</v>
      </c>
      <c r="BQ8" s="11">
        <v>4.0130000000000006E-2</v>
      </c>
      <c r="BR8" s="11">
        <v>4.3709999999999999E-2</v>
      </c>
      <c r="BS8" s="11">
        <v>4.7649999999999998E-2</v>
      </c>
      <c r="BT8" s="11">
        <v>5.1999999999999998E-2</v>
      </c>
      <c r="BU8" s="11">
        <v>5.6759999999999998E-2</v>
      </c>
      <c r="BV8" s="11">
        <v>6.1990000000000003E-2</v>
      </c>
      <c r="BW8" s="11">
        <v>6.7670000000000008E-2</v>
      </c>
      <c r="BX8" s="11">
        <v>7.3730000000000004E-2</v>
      </c>
      <c r="BY8" s="11">
        <v>8.0180000000000001E-2</v>
      </c>
      <c r="BZ8" s="11">
        <v>8.7029999999999996E-2</v>
      </c>
      <c r="CA8" s="11">
        <v>9.4370000000000009E-2</v>
      </c>
      <c r="CB8" s="11">
        <v>0.10231</v>
      </c>
      <c r="CC8" s="11">
        <v>0.11106000000000001</v>
      </c>
      <c r="CD8" s="11">
        <v>0.12082999999999999</v>
      </c>
      <c r="CE8" s="11">
        <v>0.13172999999999999</v>
      </c>
      <c r="CF8" s="11">
        <v>0.14446999999999999</v>
      </c>
      <c r="CG8" s="11">
        <v>0.15859999999999999</v>
      </c>
      <c r="CH8" s="11">
        <v>0.17430000000000001</v>
      </c>
      <c r="CI8" s="11">
        <v>0.19156000000000001</v>
      </c>
      <c r="CJ8" s="11">
        <v>0.21136000000000002</v>
      </c>
      <c r="CK8" s="11">
        <v>0.23555000000000001</v>
      </c>
      <c r="CL8" s="11">
        <v>0.26568000000000003</v>
      </c>
      <c r="CM8" s="11">
        <v>0.30301999999999996</v>
      </c>
      <c r="CN8" s="11">
        <v>0.34669</v>
      </c>
      <c r="CO8" s="11">
        <v>0.39585999999999999</v>
      </c>
      <c r="CP8" s="11">
        <v>0.45455000000000001</v>
      </c>
      <c r="CQ8" s="11">
        <v>0.53247</v>
      </c>
      <c r="CR8" s="11">
        <v>0.63426000000000005</v>
      </c>
      <c r="CS8" s="11">
        <v>0.73417999999999994</v>
      </c>
      <c r="CT8" s="11">
        <v>0.85714000000000001</v>
      </c>
      <c r="CU8" s="11">
        <v>1</v>
      </c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</row>
    <row r="9" spans="1:130">
      <c r="A9" s="17" t="s">
        <v>204</v>
      </c>
      <c r="B9" s="16" t="s">
        <v>222</v>
      </c>
      <c r="C9" s="17" t="s">
        <v>0</v>
      </c>
      <c r="D9" s="19">
        <v>1.6149999999999999E-3</v>
      </c>
      <c r="E9" s="19">
        <v>6.8000000000000005E-4</v>
      </c>
      <c r="F9" s="19">
        <v>3.5300000000000002E-4</v>
      </c>
      <c r="G9" s="19">
        <v>2.61E-4</v>
      </c>
      <c r="H9" s="19">
        <v>2.0900000000000001E-4</v>
      </c>
      <c r="I9" s="19">
        <v>1.7100000000000001E-4</v>
      </c>
      <c r="J9" s="19">
        <v>1.4100000000000001E-4</v>
      </c>
      <c r="K9" s="19">
        <v>1.18E-4</v>
      </c>
      <c r="L9" s="19">
        <v>1.18E-4</v>
      </c>
      <c r="M9" s="19">
        <v>1.21E-4</v>
      </c>
      <c r="N9" s="19">
        <v>1.26E-4</v>
      </c>
      <c r="O9" s="19">
        <v>1.3300000000000001E-4</v>
      </c>
      <c r="P9" s="19">
        <v>1.4200000000000001E-4</v>
      </c>
      <c r="Q9" s="19">
        <v>1.5200000000000001E-4</v>
      </c>
      <c r="R9" s="19">
        <v>1.64E-4</v>
      </c>
      <c r="S9" s="19">
        <v>1.7699999999999999E-4</v>
      </c>
      <c r="T9" s="19">
        <v>1.9000000000000001E-4</v>
      </c>
      <c r="U9" s="19">
        <v>2.04E-4</v>
      </c>
      <c r="V9" s="19">
        <v>2.1900000000000001E-4</v>
      </c>
      <c r="W9" s="19">
        <v>2.34E-4</v>
      </c>
      <c r="X9" s="19">
        <v>2.5000000000000001E-4</v>
      </c>
      <c r="Y9" s="19">
        <v>2.6499999999999999E-4</v>
      </c>
      <c r="Z9" s="19">
        <v>2.81E-4</v>
      </c>
      <c r="AA9" s="19">
        <v>2.9799999999999998E-4</v>
      </c>
      <c r="AB9" s="19">
        <v>3.1399999999999999E-4</v>
      </c>
      <c r="AC9" s="19">
        <v>3.3100000000000002E-4</v>
      </c>
      <c r="AD9" s="19">
        <v>3.4699999999999998E-4</v>
      </c>
      <c r="AE9" s="19">
        <v>3.6200000000000002E-4</v>
      </c>
      <c r="AF9" s="19">
        <v>3.7599999999999998E-4</v>
      </c>
      <c r="AG9" s="19">
        <v>3.8900000000000002E-4</v>
      </c>
      <c r="AH9" s="19">
        <v>4.0200000000000001E-4</v>
      </c>
      <c r="AI9" s="19">
        <v>4.1399999999999998E-4</v>
      </c>
      <c r="AJ9" s="19">
        <v>4.2499999999999998E-4</v>
      </c>
      <c r="AK9" s="19">
        <v>4.3600000000000003E-4</v>
      </c>
      <c r="AL9" s="19">
        <v>4.4900000000000002E-4</v>
      </c>
      <c r="AM9" s="19">
        <v>4.6299999999999998E-4</v>
      </c>
      <c r="AN9" s="19">
        <v>4.8099999999999998E-4</v>
      </c>
      <c r="AO9" s="19">
        <v>5.04E-4</v>
      </c>
      <c r="AP9" s="19">
        <v>5.3200000000000003E-4</v>
      </c>
      <c r="AQ9" s="19">
        <v>5.6700000000000001E-4</v>
      </c>
      <c r="AR9" s="19">
        <v>6.0899999999999995E-4</v>
      </c>
      <c r="AS9" s="19">
        <v>6.5799999999999995E-4</v>
      </c>
      <c r="AT9" s="19">
        <v>7.1500000000000003E-4</v>
      </c>
      <c r="AU9" s="19">
        <v>7.8100000000000001E-4</v>
      </c>
      <c r="AV9" s="19">
        <v>8.5499999999999997E-4</v>
      </c>
      <c r="AW9" s="19">
        <v>9.3899999999999995E-4</v>
      </c>
      <c r="AX9" s="19">
        <v>1.0349999999999999E-3</v>
      </c>
      <c r="AY9" s="19">
        <v>1.1410000000000001E-3</v>
      </c>
      <c r="AZ9" s="19">
        <v>1.261E-3</v>
      </c>
      <c r="BA9" s="19">
        <v>1.3929999999999999E-3</v>
      </c>
      <c r="BB9" s="19">
        <v>1.5380000000000001E-3</v>
      </c>
      <c r="BC9" s="19">
        <v>1.6949999999999999E-3</v>
      </c>
      <c r="BD9" s="19">
        <v>1.864E-3</v>
      </c>
      <c r="BE9" s="19">
        <v>2.0470000000000002E-3</v>
      </c>
      <c r="BF9" s="19">
        <v>2.2439999999999999E-3</v>
      </c>
      <c r="BG9" s="19">
        <v>2.457E-3</v>
      </c>
      <c r="BH9" s="19">
        <v>2.689E-3</v>
      </c>
      <c r="BI9" s="19">
        <v>2.9420000000000002E-3</v>
      </c>
      <c r="BJ9" s="19">
        <v>3.2179999999999999E-3</v>
      </c>
      <c r="BK9" s="19">
        <v>3.5230000000000001E-3</v>
      </c>
      <c r="BL9" s="19">
        <v>3.8630000000000001E-3</v>
      </c>
      <c r="BM9" s="19">
        <v>4.2420000000000001E-3</v>
      </c>
      <c r="BN9" s="19">
        <v>4.6680000000000003E-3</v>
      </c>
      <c r="BO9" s="19">
        <v>5.1440000000000001E-3</v>
      </c>
      <c r="BP9" s="19">
        <v>5.6709999999999998E-3</v>
      </c>
      <c r="BQ9" s="19">
        <v>6.2500000000000003E-3</v>
      </c>
      <c r="BR9" s="19">
        <v>6.8780000000000004E-3</v>
      </c>
      <c r="BS9" s="19">
        <v>7.5550000000000001E-3</v>
      </c>
      <c r="BT9" s="19">
        <v>8.2869999999999992E-3</v>
      </c>
      <c r="BU9" s="19">
        <v>9.1020000000000007E-3</v>
      </c>
      <c r="BV9" s="19">
        <v>1.0034E-2</v>
      </c>
      <c r="BW9" s="19">
        <v>1.1117E-2</v>
      </c>
      <c r="BX9" s="19">
        <v>1.2385999999999999E-2</v>
      </c>
      <c r="BY9" s="19">
        <v>1.3871E-2</v>
      </c>
      <c r="BZ9" s="19">
        <v>1.5592E-2</v>
      </c>
      <c r="CA9" s="19">
        <v>1.7564E-2</v>
      </c>
      <c r="CB9" s="19">
        <v>1.9805E-2</v>
      </c>
      <c r="CC9" s="19">
        <v>2.2328000000000001E-2</v>
      </c>
      <c r="CD9" s="19">
        <v>2.5158E-2</v>
      </c>
      <c r="CE9" s="19">
        <v>2.8341000000000002E-2</v>
      </c>
      <c r="CF9" s="19">
        <v>3.1933000000000003E-2</v>
      </c>
      <c r="CG9" s="19">
        <v>3.5985000000000003E-2</v>
      </c>
      <c r="CH9" s="19">
        <v>4.0551999999999998E-2</v>
      </c>
      <c r="CI9" s="19">
        <v>4.5690000000000001E-2</v>
      </c>
      <c r="CJ9" s="19">
        <v>5.1456000000000002E-2</v>
      </c>
      <c r="CK9" s="19">
        <v>5.7912999999999999E-2</v>
      </c>
      <c r="CL9" s="19">
        <v>6.5118999999999996E-2</v>
      </c>
      <c r="CM9" s="19">
        <v>7.3136000000000007E-2</v>
      </c>
      <c r="CN9" s="19">
        <v>8.1990999999999994E-2</v>
      </c>
      <c r="CO9" s="19">
        <v>9.1577000000000006E-2</v>
      </c>
      <c r="CP9" s="19">
        <v>0.101758</v>
      </c>
      <c r="CQ9" s="19">
        <v>0.11239499999999999</v>
      </c>
      <c r="CR9" s="19">
        <v>0.123349</v>
      </c>
      <c r="CS9" s="19">
        <v>0.13448599999999999</v>
      </c>
      <c r="CT9" s="19">
        <v>0.14568900000000001</v>
      </c>
      <c r="CU9" s="19">
        <v>0.15684600000000001</v>
      </c>
      <c r="CV9" s="19">
        <v>0.16784099999999999</v>
      </c>
      <c r="CW9" s="19">
        <v>0.178563</v>
      </c>
      <c r="CX9" s="19">
        <v>0.18960399999999999</v>
      </c>
      <c r="CY9" s="19">
        <v>0.20155699999999999</v>
      </c>
      <c r="CZ9" s="19">
        <v>0.21501300000000001</v>
      </c>
      <c r="DA9" s="19">
        <v>0.23056499999999999</v>
      </c>
      <c r="DB9" s="19">
        <v>0.248805</v>
      </c>
      <c r="DC9" s="19">
        <v>0.27032600000000001</v>
      </c>
      <c r="DD9" s="19">
        <v>0.29571900000000001</v>
      </c>
      <c r="DE9" s="19">
        <v>0.32557599999999998</v>
      </c>
      <c r="DF9" s="19">
        <v>0.36049100000000001</v>
      </c>
      <c r="DG9" s="19">
        <v>0.40105400000000002</v>
      </c>
      <c r="DH9" s="19">
        <v>0.44785999999999998</v>
      </c>
      <c r="DI9" s="19">
        <v>0.501498</v>
      </c>
      <c r="DJ9" s="19">
        <v>0.56256300000000004</v>
      </c>
      <c r="DK9" s="19">
        <v>0.63164500000000001</v>
      </c>
      <c r="DL9" s="19">
        <v>0.70933800000000002</v>
      </c>
      <c r="DM9" s="19">
        <v>0.79623299999999997</v>
      </c>
      <c r="DN9" s="19">
        <v>0.89292300000000002</v>
      </c>
      <c r="DO9" s="19">
        <v>1</v>
      </c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</row>
    <row r="10" spans="1:130">
      <c r="A10" s="17" t="s">
        <v>204</v>
      </c>
      <c r="B10" s="16" t="s">
        <v>215</v>
      </c>
      <c r="C10" s="17"/>
      <c r="D10" s="19">
        <v>2.0799999999999998E-3</v>
      </c>
      <c r="E10" s="19">
        <v>8.1499999999999997E-4</v>
      </c>
      <c r="F10" s="19">
        <v>4.5399999999999998E-4</v>
      </c>
      <c r="G10" s="19">
        <v>3.6699999999999998E-4</v>
      </c>
      <c r="H10" s="19">
        <v>3.21E-4</v>
      </c>
      <c r="I10" s="19">
        <v>2.9100000000000003E-4</v>
      </c>
      <c r="J10" s="19">
        <v>2.7E-4</v>
      </c>
      <c r="K10" s="19">
        <v>2.5700000000000001E-4</v>
      </c>
      <c r="L10" s="19">
        <v>2.9399999999999999E-4</v>
      </c>
      <c r="M10" s="19">
        <v>3.2499999999999999E-4</v>
      </c>
      <c r="N10" s="19">
        <v>3.5E-4</v>
      </c>
      <c r="O10" s="19">
        <v>3.7100000000000002E-4</v>
      </c>
      <c r="P10" s="19">
        <v>3.88E-4</v>
      </c>
      <c r="Q10" s="19">
        <v>4.0200000000000001E-4</v>
      </c>
      <c r="R10" s="19">
        <v>4.1399999999999998E-4</v>
      </c>
      <c r="S10" s="19">
        <v>4.2499999999999998E-4</v>
      </c>
      <c r="T10" s="19">
        <v>4.37E-4</v>
      </c>
      <c r="U10" s="19">
        <v>4.4900000000000002E-4</v>
      </c>
      <c r="V10" s="19">
        <v>4.6299999999999998E-4</v>
      </c>
      <c r="W10" s="19">
        <v>4.8000000000000001E-4</v>
      </c>
      <c r="X10" s="19">
        <v>4.9899999999999999E-4</v>
      </c>
      <c r="Y10" s="19">
        <v>5.1900000000000004E-4</v>
      </c>
      <c r="Z10" s="19">
        <v>5.4199999999999995E-4</v>
      </c>
      <c r="AA10" s="19">
        <v>5.6599999999999999E-4</v>
      </c>
      <c r="AB10" s="19">
        <v>5.9199999999999997E-4</v>
      </c>
      <c r="AC10" s="19">
        <v>6.1600000000000001E-4</v>
      </c>
      <c r="AD10" s="19">
        <v>6.3900000000000003E-4</v>
      </c>
      <c r="AE10" s="19">
        <v>6.5899999999999997E-4</v>
      </c>
      <c r="AF10" s="19">
        <v>6.7500000000000004E-4</v>
      </c>
      <c r="AG10" s="19">
        <v>6.87E-4</v>
      </c>
      <c r="AH10" s="19">
        <v>6.9399999999999996E-4</v>
      </c>
      <c r="AI10" s="19">
        <v>6.9899999999999997E-4</v>
      </c>
      <c r="AJ10" s="19">
        <v>6.9999999999999999E-4</v>
      </c>
      <c r="AK10" s="19">
        <v>7.0100000000000002E-4</v>
      </c>
      <c r="AL10" s="19">
        <v>7.0200000000000004E-4</v>
      </c>
      <c r="AM10" s="19">
        <v>7.0399999999999998E-4</v>
      </c>
      <c r="AN10" s="19">
        <v>7.1900000000000002E-4</v>
      </c>
      <c r="AO10" s="19">
        <v>7.4899999999999999E-4</v>
      </c>
      <c r="AP10" s="19">
        <v>7.9600000000000005E-4</v>
      </c>
      <c r="AQ10" s="19">
        <v>8.6399999999999997E-4</v>
      </c>
      <c r="AR10" s="19">
        <v>9.5299999999999996E-4</v>
      </c>
      <c r="AS10" s="19">
        <v>1.065E-3</v>
      </c>
      <c r="AT10" s="19">
        <v>1.201E-3</v>
      </c>
      <c r="AU10" s="19">
        <v>1.3619999999999999E-3</v>
      </c>
      <c r="AV10" s="19">
        <v>1.547E-3</v>
      </c>
      <c r="AW10" s="19">
        <v>1.7520000000000001E-3</v>
      </c>
      <c r="AX10" s="19">
        <v>1.9740000000000001E-3</v>
      </c>
      <c r="AY10" s="19">
        <v>2.2109999999999999E-3</v>
      </c>
      <c r="AZ10" s="19">
        <v>2.4599999999999999E-3</v>
      </c>
      <c r="BA10" s="19">
        <v>2.7209999999999999E-3</v>
      </c>
      <c r="BB10" s="19">
        <v>2.9940000000000001E-3</v>
      </c>
      <c r="BC10" s="19">
        <v>3.2789999999999998E-3</v>
      </c>
      <c r="BD10" s="19">
        <v>3.5760000000000002E-3</v>
      </c>
      <c r="BE10" s="19">
        <v>3.8839999999999999E-3</v>
      </c>
      <c r="BF10" s="19">
        <v>4.2030000000000001E-3</v>
      </c>
      <c r="BG10" s="19">
        <v>4.5339999999999998E-3</v>
      </c>
      <c r="BH10" s="19">
        <v>4.8760000000000001E-3</v>
      </c>
      <c r="BI10" s="19">
        <v>5.228E-3</v>
      </c>
      <c r="BJ10" s="19">
        <v>5.5929999999999999E-3</v>
      </c>
      <c r="BK10" s="19">
        <v>5.9880000000000003E-3</v>
      </c>
      <c r="BL10" s="19">
        <v>6.4279999999999997E-3</v>
      </c>
      <c r="BM10" s="19">
        <v>6.9329999999999999E-3</v>
      </c>
      <c r="BN10" s="19">
        <v>7.5199999999999998E-3</v>
      </c>
      <c r="BO10" s="19">
        <v>8.2070000000000008E-3</v>
      </c>
      <c r="BP10" s="19">
        <v>9.0080000000000004E-3</v>
      </c>
      <c r="BQ10" s="19">
        <v>9.9399999999999992E-3</v>
      </c>
      <c r="BR10" s="19">
        <v>1.1016E-2</v>
      </c>
      <c r="BS10" s="19">
        <v>1.2251E-2</v>
      </c>
      <c r="BT10" s="19">
        <v>1.3657000000000001E-2</v>
      </c>
      <c r="BU10" s="19">
        <v>1.5233E-2</v>
      </c>
      <c r="BV10" s="19">
        <v>1.6979000000000001E-2</v>
      </c>
      <c r="BW10" s="19">
        <v>1.8891000000000002E-2</v>
      </c>
      <c r="BX10" s="19">
        <v>2.0967E-2</v>
      </c>
      <c r="BY10" s="19">
        <v>2.3209E-2</v>
      </c>
      <c r="BZ10" s="19">
        <v>2.5644E-2</v>
      </c>
      <c r="CA10" s="19">
        <v>2.8303999999999999E-2</v>
      </c>
      <c r="CB10" s="19">
        <v>3.1220000000000001E-2</v>
      </c>
      <c r="CC10" s="19">
        <v>3.4424999999999997E-2</v>
      </c>
      <c r="CD10" s="19">
        <v>3.7948000000000003E-2</v>
      </c>
      <c r="CE10" s="19">
        <v>4.1812000000000002E-2</v>
      </c>
      <c r="CF10" s="19">
        <v>4.6037000000000002E-2</v>
      </c>
      <c r="CG10" s="19">
        <v>5.0643000000000001E-2</v>
      </c>
      <c r="CH10" s="19">
        <v>5.5650999999999999E-2</v>
      </c>
      <c r="CI10" s="19">
        <v>6.1080000000000002E-2</v>
      </c>
      <c r="CJ10" s="19">
        <v>6.6947999999999994E-2</v>
      </c>
      <c r="CK10" s="19">
        <v>7.3275000000000007E-2</v>
      </c>
      <c r="CL10" s="19">
        <v>8.0075999999999994E-2</v>
      </c>
      <c r="CM10" s="19">
        <v>8.7370000000000003E-2</v>
      </c>
      <c r="CN10" s="19">
        <v>9.5169000000000004E-2</v>
      </c>
      <c r="CO10" s="19">
        <v>0.10345500000000001</v>
      </c>
      <c r="CP10" s="19">
        <v>0.112208</v>
      </c>
      <c r="CQ10" s="19">
        <v>0.121402</v>
      </c>
      <c r="CR10" s="19">
        <v>0.13101699999999999</v>
      </c>
      <c r="CS10" s="19">
        <v>0.14102999999999999</v>
      </c>
      <c r="CT10" s="19">
        <v>0.151422</v>
      </c>
      <c r="CU10" s="19">
        <v>0.16217899999999999</v>
      </c>
      <c r="CV10" s="19">
        <v>0.17327899999999999</v>
      </c>
      <c r="CW10" s="19">
        <v>0.18470600000000001</v>
      </c>
      <c r="CX10" s="19">
        <v>0.19694600000000001</v>
      </c>
      <c r="CY10" s="19">
        <v>0.210484</v>
      </c>
      <c r="CZ10" s="19">
        <v>0.22580600000000001</v>
      </c>
      <c r="DA10" s="19">
        <v>0.243398</v>
      </c>
      <c r="DB10" s="19">
        <v>0.26374500000000001</v>
      </c>
      <c r="DC10" s="19">
        <v>0.28733399999999998</v>
      </c>
      <c r="DD10" s="19">
        <v>0.31464900000000001</v>
      </c>
      <c r="DE10" s="19">
        <v>0.34617700000000001</v>
      </c>
      <c r="DF10" s="19">
        <v>0.38240299999999999</v>
      </c>
      <c r="DG10" s="19">
        <v>0.423813</v>
      </c>
      <c r="DH10" s="19">
        <v>0.47089300000000001</v>
      </c>
      <c r="DI10" s="19">
        <v>0.52412800000000004</v>
      </c>
      <c r="DJ10" s="19">
        <v>0.58400399999999997</v>
      </c>
      <c r="DK10" s="19">
        <v>0.651007</v>
      </c>
      <c r="DL10" s="19">
        <v>0.72562199999999999</v>
      </c>
      <c r="DM10" s="19">
        <v>0.80833600000000005</v>
      </c>
      <c r="DN10" s="19">
        <v>0.89963300000000002</v>
      </c>
      <c r="DO10" s="19">
        <v>1</v>
      </c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</row>
    <row r="11" spans="1:130">
      <c r="A11" s="2" t="s">
        <v>204</v>
      </c>
      <c r="B11" s="4" t="s">
        <v>3</v>
      </c>
      <c r="C11" s="2" t="s">
        <v>0</v>
      </c>
      <c r="D11" s="11">
        <v>1.794E-3</v>
      </c>
      <c r="E11" s="11">
        <v>7.5500000000000003E-4</v>
      </c>
      <c r="F11" s="11">
        <v>3.9199999999999999E-4</v>
      </c>
      <c r="G11" s="11">
        <v>2.9E-4</v>
      </c>
      <c r="H11" s="11">
        <v>2.32E-4</v>
      </c>
      <c r="I11" s="11">
        <v>1.8900000000000001E-4</v>
      </c>
      <c r="J11" s="11">
        <v>1.56E-4</v>
      </c>
      <c r="K11" s="11">
        <v>1.3100000000000001E-4</v>
      </c>
      <c r="L11" s="11">
        <v>1.3100000000000001E-4</v>
      </c>
      <c r="M11" s="11">
        <v>1.34E-4</v>
      </c>
      <c r="N11" s="11">
        <v>1.3999999999999999E-4</v>
      </c>
      <c r="O11" s="11">
        <v>1.4799999999999999E-4</v>
      </c>
      <c r="P11" s="11">
        <v>1.5799999999999999E-4</v>
      </c>
      <c r="Q11" s="11">
        <v>1.7000000000000001E-4</v>
      </c>
      <c r="R11" s="11">
        <v>1.83E-4</v>
      </c>
      <c r="S11" s="11">
        <v>1.9699999999999999E-4</v>
      </c>
      <c r="T11" s="11">
        <v>2.12E-4</v>
      </c>
      <c r="U11" s="11">
        <v>2.2800000000000001E-4</v>
      </c>
      <c r="V11" s="11">
        <v>2.4399999999999999E-4</v>
      </c>
      <c r="W11" s="11">
        <v>2.5999999999999998E-4</v>
      </c>
      <c r="X11" s="11">
        <v>2.7700000000000001E-4</v>
      </c>
      <c r="Y11" s="11">
        <v>2.9399999999999999E-4</v>
      </c>
      <c r="Z11" s="11">
        <v>3.1199999999999999E-4</v>
      </c>
      <c r="AA11" s="11">
        <v>3.3E-4</v>
      </c>
      <c r="AB11" s="11">
        <v>3.4900000000000003E-4</v>
      </c>
      <c r="AC11" s="11">
        <v>3.6699999999999998E-4</v>
      </c>
      <c r="AD11" s="11">
        <v>3.8499999999999998E-4</v>
      </c>
      <c r="AE11" s="11">
        <v>4.0299999999999998E-4</v>
      </c>
      <c r="AF11" s="11">
        <v>4.1899999999999999E-4</v>
      </c>
      <c r="AG11" s="11">
        <v>4.35E-4</v>
      </c>
      <c r="AH11" s="11">
        <v>4.4999999999999999E-4</v>
      </c>
      <c r="AI11" s="11">
        <v>4.6299999999999998E-4</v>
      </c>
      <c r="AJ11" s="11">
        <v>4.7600000000000002E-4</v>
      </c>
      <c r="AK11" s="11">
        <v>4.8799999999999999E-4</v>
      </c>
      <c r="AL11" s="11">
        <v>5.0000000000000001E-4</v>
      </c>
      <c r="AM11" s="11">
        <v>5.1500000000000005E-4</v>
      </c>
      <c r="AN11" s="11">
        <v>5.3399999999999997E-4</v>
      </c>
      <c r="AO11" s="11">
        <v>5.5800000000000001E-4</v>
      </c>
      <c r="AP11" s="11">
        <v>5.9000000000000003E-4</v>
      </c>
      <c r="AQ11" s="11">
        <v>6.3000000000000003E-4</v>
      </c>
      <c r="AR11" s="11">
        <v>6.7699999999999998E-4</v>
      </c>
      <c r="AS11" s="11">
        <v>7.3200000000000001E-4</v>
      </c>
      <c r="AT11" s="11">
        <v>7.9600000000000005E-4</v>
      </c>
      <c r="AU11" s="11">
        <v>8.6799999999999996E-4</v>
      </c>
      <c r="AV11" s="11">
        <v>9.5E-4</v>
      </c>
      <c r="AW11" s="11">
        <v>1.0430000000000001E-3</v>
      </c>
      <c r="AX11" s="11">
        <v>1.1479999999999999E-3</v>
      </c>
      <c r="AY11" s="11">
        <v>1.2669999999999999E-3</v>
      </c>
      <c r="AZ11" s="11">
        <v>1.4E-3</v>
      </c>
      <c r="BA11" s="11">
        <v>1.5479999999999999E-3</v>
      </c>
      <c r="BB11" s="11">
        <v>1.7099999999999999E-3</v>
      </c>
      <c r="BC11" s="11">
        <v>1.8879999999999999E-3</v>
      </c>
      <c r="BD11" s="11">
        <v>2.0790000000000001E-3</v>
      </c>
      <c r="BE11" s="11">
        <v>2.2859999999999998E-3</v>
      </c>
      <c r="BF11" s="11">
        <v>2.5070000000000001E-3</v>
      </c>
      <c r="BG11" s="11">
        <v>2.7460000000000002E-3</v>
      </c>
      <c r="BH11" s="11">
        <v>3.003E-3</v>
      </c>
      <c r="BI11" s="11">
        <v>3.2799999999999999E-3</v>
      </c>
      <c r="BJ11" s="11">
        <v>3.578E-3</v>
      </c>
      <c r="BK11" s="11">
        <v>3.9069999999999999E-3</v>
      </c>
      <c r="BL11" s="11">
        <v>4.2770000000000004E-3</v>
      </c>
      <c r="BM11" s="11">
        <v>4.6990000000000001E-3</v>
      </c>
      <c r="BN11" s="11">
        <v>5.1809999999999998E-3</v>
      </c>
      <c r="BO11" s="11">
        <v>5.7320000000000001E-3</v>
      </c>
      <c r="BP11" s="11">
        <v>6.3470000000000002E-3</v>
      </c>
      <c r="BQ11" s="11">
        <v>7.0169999999999998E-3</v>
      </c>
      <c r="BR11" s="11">
        <v>7.7340000000000004E-3</v>
      </c>
      <c r="BS11" s="11">
        <v>8.4910000000000003E-3</v>
      </c>
      <c r="BT11" s="11">
        <v>9.2879999999999994E-3</v>
      </c>
      <c r="BU11" s="11">
        <v>1.0163E-2</v>
      </c>
      <c r="BV11" s="11">
        <v>1.1165E-2</v>
      </c>
      <c r="BW11" s="11">
        <v>1.2338999999999999E-2</v>
      </c>
      <c r="BX11" s="11">
        <v>1.3734E-2</v>
      </c>
      <c r="BY11" s="11">
        <v>1.5391E-2</v>
      </c>
      <c r="BZ11" s="11">
        <v>1.7326000000000001E-2</v>
      </c>
      <c r="CA11" s="11">
        <v>1.9550999999999999E-2</v>
      </c>
      <c r="CB11" s="11">
        <v>2.2075000000000001E-2</v>
      </c>
      <c r="CC11" s="11">
        <v>2.4910000000000002E-2</v>
      </c>
      <c r="CD11" s="11">
        <v>2.8074000000000002E-2</v>
      </c>
      <c r="CE11" s="11">
        <v>3.1612000000000001E-2</v>
      </c>
      <c r="CF11" s="11">
        <v>3.5580000000000001E-2</v>
      </c>
      <c r="CG11" s="11">
        <v>4.0030000000000003E-2</v>
      </c>
      <c r="CH11" s="11">
        <v>4.5017000000000001E-2</v>
      </c>
      <c r="CI11" s="11">
        <v>5.0599999999999999E-2</v>
      </c>
      <c r="CJ11" s="11">
        <v>5.6864999999999999E-2</v>
      </c>
      <c r="CK11" s="11">
        <v>6.3907000000000005E-2</v>
      </c>
      <c r="CL11" s="11">
        <v>7.1815000000000004E-2</v>
      </c>
      <c r="CM11" s="11">
        <v>8.0682000000000004E-2</v>
      </c>
      <c r="CN11" s="11">
        <v>9.0556999999999999E-2</v>
      </c>
      <c r="CO11" s="11">
        <v>0.10130699999999999</v>
      </c>
      <c r="CP11" s="11">
        <v>0.112759</v>
      </c>
      <c r="CQ11" s="11">
        <v>0.124733</v>
      </c>
      <c r="CR11" s="11">
        <v>0.13705400000000001</v>
      </c>
      <c r="CS11" s="11">
        <v>0.14955199999999999</v>
      </c>
      <c r="CT11" s="11">
        <v>0.162079</v>
      </c>
      <c r="CU11" s="11">
        <v>0.17449200000000001</v>
      </c>
      <c r="CV11" s="11">
        <v>0.18664700000000001</v>
      </c>
      <c r="CW11" s="11">
        <v>0.198403</v>
      </c>
      <c r="CX11" s="11">
        <v>0.210337</v>
      </c>
      <c r="CY11" s="11">
        <v>0.223027</v>
      </c>
      <c r="CZ11" s="11">
        <v>0.23705100000000001</v>
      </c>
      <c r="DA11" s="11">
        <v>0.25298500000000002</v>
      </c>
      <c r="DB11" s="11">
        <v>0.27140599999999998</v>
      </c>
      <c r="DC11" s="11">
        <v>0.29289300000000001</v>
      </c>
      <c r="DD11" s="11">
        <v>0.318023</v>
      </c>
      <c r="DE11" s="11">
        <v>0.34737299999999999</v>
      </c>
      <c r="DF11" s="11">
        <v>0.38152000000000003</v>
      </c>
      <c r="DG11" s="11">
        <v>0.42104200000000003</v>
      </c>
      <c r="DH11" s="11">
        <v>0.46651599999999999</v>
      </c>
      <c r="DI11" s="11">
        <v>0.51851999999999998</v>
      </c>
      <c r="DJ11" s="11">
        <v>0.57763100000000001</v>
      </c>
      <c r="DK11" s="11">
        <v>0.64442699999999997</v>
      </c>
      <c r="DL11" s="11">
        <v>0.71948400000000001</v>
      </c>
      <c r="DM11" s="11">
        <v>0.80337999999999998</v>
      </c>
      <c r="DN11" s="11">
        <v>0.89669299999999996</v>
      </c>
      <c r="DO11" s="11">
        <v>1</v>
      </c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</row>
    <row r="12" spans="1:130">
      <c r="A12" s="2" t="s">
        <v>204</v>
      </c>
      <c r="B12" s="4" t="s">
        <v>194</v>
      </c>
      <c r="C12" s="2" t="s">
        <v>0</v>
      </c>
      <c r="D12" s="11">
        <v>2.3110000000000001E-3</v>
      </c>
      <c r="E12" s="11">
        <v>9.0600000000000001E-4</v>
      </c>
      <c r="F12" s="11">
        <v>5.04E-4</v>
      </c>
      <c r="G12" s="11">
        <v>4.08E-4</v>
      </c>
      <c r="H12" s="11">
        <v>3.57E-4</v>
      </c>
      <c r="I12" s="11">
        <v>3.2400000000000001E-4</v>
      </c>
      <c r="J12" s="11">
        <v>3.01E-4</v>
      </c>
      <c r="K12" s="11">
        <v>2.8600000000000001E-4</v>
      </c>
      <c r="L12" s="11">
        <v>3.28E-4</v>
      </c>
      <c r="M12" s="11">
        <v>3.6200000000000002E-4</v>
      </c>
      <c r="N12" s="11">
        <v>3.8999999999999999E-4</v>
      </c>
      <c r="O12" s="11">
        <v>4.1300000000000001E-4</v>
      </c>
      <c r="P12" s="11">
        <v>4.3100000000000001E-4</v>
      </c>
      <c r="Q12" s="11">
        <v>4.46E-4</v>
      </c>
      <c r="R12" s="11">
        <v>4.5800000000000002E-4</v>
      </c>
      <c r="S12" s="11">
        <v>4.6999999999999999E-4</v>
      </c>
      <c r="T12" s="11">
        <v>4.8099999999999998E-4</v>
      </c>
      <c r="U12" s="11">
        <v>4.95E-4</v>
      </c>
      <c r="V12" s="11">
        <v>5.1000000000000004E-4</v>
      </c>
      <c r="W12" s="11">
        <v>5.2800000000000004E-4</v>
      </c>
      <c r="X12" s="11">
        <v>5.4900000000000001E-4</v>
      </c>
      <c r="Y12" s="11">
        <v>5.7300000000000005E-4</v>
      </c>
      <c r="Z12" s="11">
        <v>5.9900000000000003E-4</v>
      </c>
      <c r="AA12" s="11">
        <v>6.2699999999999995E-4</v>
      </c>
      <c r="AB12" s="11">
        <v>6.5700000000000003E-4</v>
      </c>
      <c r="AC12" s="11">
        <v>6.8599999999999998E-4</v>
      </c>
      <c r="AD12" s="11">
        <v>7.1400000000000001E-4</v>
      </c>
      <c r="AE12" s="11">
        <v>7.3800000000000005E-4</v>
      </c>
      <c r="AF12" s="11">
        <v>7.5799999999999999E-4</v>
      </c>
      <c r="AG12" s="11">
        <v>7.7399999999999995E-4</v>
      </c>
      <c r="AH12" s="11">
        <v>7.8399999999999997E-4</v>
      </c>
      <c r="AI12" s="11">
        <v>7.8899999999999999E-4</v>
      </c>
      <c r="AJ12" s="11">
        <v>7.8899999999999999E-4</v>
      </c>
      <c r="AK12" s="11">
        <v>7.9000000000000001E-4</v>
      </c>
      <c r="AL12" s="11">
        <v>7.9100000000000004E-4</v>
      </c>
      <c r="AM12" s="11">
        <v>7.9199999999999995E-4</v>
      </c>
      <c r="AN12" s="11">
        <v>7.94E-4</v>
      </c>
      <c r="AO12" s="11">
        <v>8.2299999999999995E-4</v>
      </c>
      <c r="AP12" s="11">
        <v>8.7200000000000005E-4</v>
      </c>
      <c r="AQ12" s="11">
        <v>9.4499999999999998E-4</v>
      </c>
      <c r="AR12" s="11">
        <v>1.0430000000000001E-3</v>
      </c>
      <c r="AS12" s="11">
        <v>1.168E-3</v>
      </c>
      <c r="AT12" s="11">
        <v>1.322E-3</v>
      </c>
      <c r="AU12" s="11">
        <v>1.505E-3</v>
      </c>
      <c r="AV12" s="11">
        <v>1.7149999999999999E-3</v>
      </c>
      <c r="AW12" s="11">
        <v>1.9480000000000001E-3</v>
      </c>
      <c r="AX12" s="11">
        <v>2.1979999999999999E-3</v>
      </c>
      <c r="AY12" s="11">
        <v>2.4629999999999999E-3</v>
      </c>
      <c r="AZ12" s="11">
        <v>2.7399999999999998E-3</v>
      </c>
      <c r="BA12" s="11">
        <v>3.0279999999999999E-3</v>
      </c>
      <c r="BB12" s="11">
        <v>3.3300000000000001E-3</v>
      </c>
      <c r="BC12" s="11">
        <v>3.6470000000000001E-3</v>
      </c>
      <c r="BD12" s="11">
        <v>3.98E-3</v>
      </c>
      <c r="BE12" s="11">
        <v>4.3309999999999998E-3</v>
      </c>
      <c r="BF12" s="11">
        <v>4.6979999999999999E-3</v>
      </c>
      <c r="BG12" s="11">
        <v>5.0769999999999999E-3</v>
      </c>
      <c r="BH12" s="11">
        <v>5.4650000000000002E-3</v>
      </c>
      <c r="BI12" s="11">
        <v>5.8609999999999999E-3</v>
      </c>
      <c r="BJ12" s="11">
        <v>6.2649999999999997E-3</v>
      </c>
      <c r="BK12" s="11">
        <v>6.6940000000000003E-3</v>
      </c>
      <c r="BL12" s="11">
        <v>7.1700000000000002E-3</v>
      </c>
      <c r="BM12" s="11">
        <v>7.7140000000000004E-3</v>
      </c>
      <c r="BN12" s="11">
        <v>8.3479999999999995E-3</v>
      </c>
      <c r="BO12" s="11">
        <v>9.0930000000000004E-3</v>
      </c>
      <c r="BP12" s="11">
        <v>9.9679999999999994E-3</v>
      </c>
      <c r="BQ12" s="11">
        <v>1.0992999999999999E-2</v>
      </c>
      <c r="BR12" s="11">
        <v>1.2187999999999999E-2</v>
      </c>
      <c r="BS12" s="11">
        <v>1.3572000000000001E-2</v>
      </c>
      <c r="BT12" s="11">
        <v>1.516E-2</v>
      </c>
      <c r="BU12" s="11">
        <v>1.6945999999999999E-2</v>
      </c>
      <c r="BV12" s="11">
        <v>1.8919999999999999E-2</v>
      </c>
      <c r="BW12" s="11">
        <v>2.1070999999999999E-2</v>
      </c>
      <c r="BX12" s="11">
        <v>2.3387999999999999E-2</v>
      </c>
      <c r="BY12" s="11">
        <v>2.5871000000000002E-2</v>
      </c>
      <c r="BZ12" s="11">
        <v>2.8552000000000001E-2</v>
      </c>
      <c r="CA12" s="11">
        <v>3.1476999999999998E-2</v>
      </c>
      <c r="CB12" s="11">
        <v>3.4686000000000002E-2</v>
      </c>
      <c r="CC12" s="11">
        <v>3.8225000000000002E-2</v>
      </c>
      <c r="CD12" s="11">
        <v>4.2132000000000003E-2</v>
      </c>
      <c r="CE12" s="11">
        <v>4.6427000000000003E-2</v>
      </c>
      <c r="CF12" s="11">
        <v>5.1128E-2</v>
      </c>
      <c r="CG12" s="11">
        <v>5.6250000000000001E-2</v>
      </c>
      <c r="CH12" s="11">
        <v>6.1809000000000003E-2</v>
      </c>
      <c r="CI12" s="11">
        <v>6.7825999999999997E-2</v>
      </c>
      <c r="CJ12" s="11">
        <v>7.4321999999999999E-2</v>
      </c>
      <c r="CK12" s="11">
        <v>8.1325999999999996E-2</v>
      </c>
      <c r="CL12" s="11">
        <v>8.8862999999999998E-2</v>
      </c>
      <c r="CM12" s="11">
        <v>9.6958000000000003E-2</v>
      </c>
      <c r="CN12" s="11">
        <v>0.105631</v>
      </c>
      <c r="CO12" s="11">
        <v>0.114858</v>
      </c>
      <c r="CP12" s="11">
        <v>0.124612</v>
      </c>
      <c r="CQ12" s="11">
        <v>0.13486100000000001</v>
      </c>
      <c r="CR12" s="11">
        <v>0.14557500000000001</v>
      </c>
      <c r="CS12" s="11">
        <v>0.15672700000000001</v>
      </c>
      <c r="CT12" s="11">
        <v>0.16829</v>
      </c>
      <c r="CU12" s="11">
        <v>0.18024499999999999</v>
      </c>
      <c r="CV12" s="11">
        <v>0.19256499999999999</v>
      </c>
      <c r="CW12" s="11">
        <v>0.20522899999999999</v>
      </c>
      <c r="CX12" s="11">
        <v>0.21868299999999999</v>
      </c>
      <c r="CY12" s="11">
        <v>0.233371</v>
      </c>
      <c r="CZ12" s="11">
        <v>0.24974099999999999</v>
      </c>
      <c r="DA12" s="11">
        <v>0.268237</v>
      </c>
      <c r="DB12" s="11">
        <v>0.28930499999999998</v>
      </c>
      <c r="DC12" s="11">
        <v>0.31339099999999998</v>
      </c>
      <c r="DD12" s="11">
        <v>0.34094000000000002</v>
      </c>
      <c r="DE12" s="11">
        <v>0.37239800000000001</v>
      </c>
      <c r="DF12" s="11">
        <v>0.40821000000000002</v>
      </c>
      <c r="DG12" s="11">
        <v>0.44882300000000003</v>
      </c>
      <c r="DH12" s="11">
        <v>0.49468099999999998</v>
      </c>
      <c r="DI12" s="11">
        <v>0.54623100000000002</v>
      </c>
      <c r="DJ12" s="11">
        <v>0.60391700000000004</v>
      </c>
      <c r="DK12" s="11">
        <v>0.66818599999999995</v>
      </c>
      <c r="DL12" s="11">
        <v>0.739483</v>
      </c>
      <c r="DM12" s="11">
        <v>0.81825400000000004</v>
      </c>
      <c r="DN12" s="11">
        <v>0.904945</v>
      </c>
      <c r="DO12" s="11">
        <v>1</v>
      </c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</row>
    <row r="13" spans="1:130">
      <c r="A13" s="17" t="s">
        <v>204</v>
      </c>
      <c r="B13" s="16" t="s">
        <v>156</v>
      </c>
      <c r="C13" s="17"/>
      <c r="D13" s="19">
        <v>2.0530000000000001E-3</v>
      </c>
      <c r="E13" s="19">
        <v>8.3100000000000003E-4</v>
      </c>
      <c r="F13" s="19">
        <v>4.4799999999999999E-4</v>
      </c>
      <c r="G13" s="19">
        <v>3.4900000000000003E-4</v>
      </c>
      <c r="H13" s="19">
        <v>2.9500000000000001E-4</v>
      </c>
      <c r="I13" s="19">
        <v>2.5700000000000001E-4</v>
      </c>
      <c r="J13" s="19">
        <v>2.2900000000000001E-4</v>
      </c>
      <c r="K13" s="19">
        <v>2.0900000000000001E-4</v>
      </c>
      <c r="L13" s="19">
        <v>2.3000000000000001E-4</v>
      </c>
      <c r="M13" s="19">
        <v>2.4800000000000001E-4</v>
      </c>
      <c r="N13" s="19">
        <v>2.6499999999999999E-4</v>
      </c>
      <c r="O13" s="19">
        <v>2.81E-4</v>
      </c>
      <c r="P13" s="19">
        <v>2.9500000000000001E-4</v>
      </c>
      <c r="Q13" s="19">
        <v>3.0800000000000001E-4</v>
      </c>
      <c r="R13" s="19">
        <v>3.21E-4</v>
      </c>
      <c r="S13" s="19">
        <v>3.3399999999999999E-4</v>
      </c>
      <c r="T13" s="19">
        <v>3.4699999999999998E-4</v>
      </c>
      <c r="U13" s="19">
        <v>3.6200000000000002E-4</v>
      </c>
      <c r="V13" s="19">
        <v>3.77E-4</v>
      </c>
      <c r="W13" s="19">
        <v>3.9399999999999998E-4</v>
      </c>
      <c r="X13" s="19">
        <v>4.1300000000000001E-4</v>
      </c>
      <c r="Y13" s="19">
        <v>4.3399999999999998E-4</v>
      </c>
      <c r="Z13" s="19">
        <v>4.5600000000000003E-4</v>
      </c>
      <c r="AA13" s="19">
        <v>4.7899999999999999E-4</v>
      </c>
      <c r="AB13" s="19">
        <v>5.0299999999999997E-4</v>
      </c>
      <c r="AC13" s="19">
        <v>5.2700000000000002E-4</v>
      </c>
      <c r="AD13" s="19">
        <v>5.5000000000000003E-4</v>
      </c>
      <c r="AE13" s="19">
        <v>5.71E-4</v>
      </c>
      <c r="AF13" s="19">
        <v>5.8900000000000001E-4</v>
      </c>
      <c r="AG13" s="19">
        <v>6.0499999999999996E-4</v>
      </c>
      <c r="AH13" s="19">
        <v>6.1700000000000004E-4</v>
      </c>
      <c r="AI13" s="19">
        <v>6.2600000000000004E-4</v>
      </c>
      <c r="AJ13" s="19">
        <v>6.3299999999999999E-4</v>
      </c>
      <c r="AK13" s="19">
        <v>6.3900000000000003E-4</v>
      </c>
      <c r="AL13" s="19">
        <v>6.4599999999999998E-4</v>
      </c>
      <c r="AM13" s="19">
        <v>6.5399999999999996E-4</v>
      </c>
      <c r="AN13" s="19">
        <v>6.6399999999999999E-4</v>
      </c>
      <c r="AO13" s="19">
        <v>6.9099999999999999E-4</v>
      </c>
      <c r="AP13" s="19">
        <v>7.3099999999999999E-4</v>
      </c>
      <c r="AQ13" s="19">
        <v>7.8799999999999996E-4</v>
      </c>
      <c r="AR13" s="19">
        <v>8.5999999999999998E-4</v>
      </c>
      <c r="AS13" s="19">
        <v>9.5E-4</v>
      </c>
      <c r="AT13" s="19">
        <v>1.059E-3</v>
      </c>
      <c r="AU13" s="19">
        <v>1.1869999999999999E-3</v>
      </c>
      <c r="AV13" s="19">
        <v>1.333E-3</v>
      </c>
      <c r="AW13" s="19">
        <v>1.4959999999999999E-3</v>
      </c>
      <c r="AX13" s="19">
        <v>1.673E-3</v>
      </c>
      <c r="AY13" s="19">
        <v>1.8649999999999999E-3</v>
      </c>
      <c r="AZ13" s="19">
        <v>2.0699999999999998E-3</v>
      </c>
      <c r="BA13" s="19">
        <v>2.2880000000000001E-3</v>
      </c>
      <c r="BB13" s="19">
        <v>2.5200000000000001E-3</v>
      </c>
      <c r="BC13" s="19">
        <v>2.7680000000000001E-3</v>
      </c>
      <c r="BD13" s="19">
        <v>3.0300000000000001E-3</v>
      </c>
      <c r="BE13" s="19">
        <v>3.3089999999999999E-3</v>
      </c>
      <c r="BF13" s="19">
        <v>3.6029999999999999E-3</v>
      </c>
      <c r="BG13" s="19">
        <v>3.9119999999999997E-3</v>
      </c>
      <c r="BH13" s="19">
        <v>4.2339999999999999E-3</v>
      </c>
      <c r="BI13" s="19">
        <v>4.5710000000000004E-3</v>
      </c>
      <c r="BJ13" s="19">
        <v>4.9220000000000002E-3</v>
      </c>
      <c r="BK13" s="19">
        <v>5.3010000000000002E-3</v>
      </c>
      <c r="BL13" s="19">
        <v>5.7239999999999999E-3</v>
      </c>
      <c r="BM13" s="19">
        <v>6.2069999999999998E-3</v>
      </c>
      <c r="BN13" s="19">
        <v>6.7650000000000002E-3</v>
      </c>
      <c r="BO13" s="19">
        <v>7.4130000000000003E-3</v>
      </c>
      <c r="BP13" s="19">
        <v>8.1580000000000003E-3</v>
      </c>
      <c r="BQ13" s="19">
        <v>9.0050000000000009E-3</v>
      </c>
      <c r="BR13" s="19">
        <v>9.9609999999999994E-3</v>
      </c>
      <c r="BS13" s="19">
        <v>1.1032E-2</v>
      </c>
      <c r="BT13" s="19">
        <v>1.2224E-2</v>
      </c>
      <c r="BU13" s="19">
        <v>1.3554999999999999E-2</v>
      </c>
      <c r="BV13" s="19">
        <v>1.5043000000000001E-2</v>
      </c>
      <c r="BW13" s="19">
        <v>1.6705000000000001E-2</v>
      </c>
      <c r="BX13" s="19">
        <v>1.8561000000000001E-2</v>
      </c>
      <c r="BY13" s="19">
        <v>2.0631E-2</v>
      </c>
      <c r="BZ13" s="19">
        <v>2.2939000000000001E-2</v>
      </c>
      <c r="CA13" s="19">
        <v>2.5513999999999998E-2</v>
      </c>
      <c r="CB13" s="19">
        <v>2.8381E-2</v>
      </c>
      <c r="CC13" s="19">
        <v>3.1567999999999999E-2</v>
      </c>
      <c r="CD13" s="19">
        <v>3.5103000000000002E-2</v>
      </c>
      <c r="CE13" s="19">
        <v>3.9019999999999999E-2</v>
      </c>
      <c r="CF13" s="19">
        <v>4.3353999999999997E-2</v>
      </c>
      <c r="CG13" s="19">
        <v>4.8140000000000002E-2</v>
      </c>
      <c r="CH13" s="19">
        <v>5.3413000000000002E-2</v>
      </c>
      <c r="CI13" s="19">
        <v>5.9213000000000002E-2</v>
      </c>
      <c r="CJ13" s="19">
        <v>6.5594E-2</v>
      </c>
      <c r="CK13" s="19">
        <v>7.2617000000000001E-2</v>
      </c>
      <c r="CL13" s="19">
        <v>8.0338999999999994E-2</v>
      </c>
      <c r="CM13" s="19">
        <v>8.8819999999999996E-2</v>
      </c>
      <c r="CN13" s="19">
        <v>9.8094000000000001E-2</v>
      </c>
      <c r="CO13" s="19">
        <v>0.108083</v>
      </c>
      <c r="CP13" s="19">
        <v>0.118686</v>
      </c>
      <c r="CQ13" s="19">
        <v>0.129797</v>
      </c>
      <c r="CR13" s="19">
        <v>0.141315</v>
      </c>
      <c r="CS13" s="19">
        <v>0.15314</v>
      </c>
      <c r="CT13" s="19">
        <v>0.165185</v>
      </c>
      <c r="CU13" s="19">
        <v>0.177369</v>
      </c>
      <c r="CV13" s="19">
        <v>0.189606</v>
      </c>
      <c r="CW13" s="19">
        <v>0.201816</v>
      </c>
      <c r="CX13" s="19">
        <v>0.21451000000000001</v>
      </c>
      <c r="CY13" s="19">
        <v>0.22819900000000001</v>
      </c>
      <c r="CZ13" s="19">
        <v>0.243396</v>
      </c>
      <c r="DA13" s="19">
        <v>0.26061099999999998</v>
      </c>
      <c r="DB13" s="19">
        <v>0.28035599999999999</v>
      </c>
      <c r="DC13" s="19">
        <v>0.30314200000000002</v>
      </c>
      <c r="DD13" s="19">
        <v>0.329482</v>
      </c>
      <c r="DE13" s="19">
        <v>0.35988599999999998</v>
      </c>
      <c r="DF13" s="19">
        <v>0.39486500000000002</v>
      </c>
      <c r="DG13" s="19">
        <v>0.43493300000000001</v>
      </c>
      <c r="DH13" s="19">
        <v>0.480599</v>
      </c>
      <c r="DI13" s="19">
        <v>0.53237599999999996</v>
      </c>
      <c r="DJ13" s="19">
        <v>0.59077400000000002</v>
      </c>
      <c r="DK13" s="19">
        <v>0.65630699999999997</v>
      </c>
      <c r="DL13" s="19">
        <v>0.72948400000000002</v>
      </c>
      <c r="DM13" s="19">
        <v>0.81081700000000001</v>
      </c>
      <c r="DN13" s="19">
        <v>0.90081900000000004</v>
      </c>
      <c r="DO13" s="19">
        <v>1</v>
      </c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</row>
    <row r="14" spans="1:130">
      <c r="A14" s="2" t="s">
        <v>204</v>
      </c>
      <c r="B14" s="4" t="s">
        <v>196</v>
      </c>
      <c r="C14" s="2" t="s">
        <v>0</v>
      </c>
      <c r="D14" s="11">
        <v>3.2100000000000002E-3</v>
      </c>
      <c r="E14" s="11">
        <v>1.3600000000000001E-3</v>
      </c>
      <c r="F14" s="11">
        <v>7.0299999999999996E-4</v>
      </c>
      <c r="G14" s="11">
        <v>5.2099999999999998E-4</v>
      </c>
      <c r="H14" s="11">
        <v>4.1899999999999999E-4</v>
      </c>
      <c r="I14" s="11">
        <v>3.39E-4</v>
      </c>
      <c r="J14" s="11">
        <v>2.7799999999999998E-4</v>
      </c>
      <c r="K14" s="11">
        <v>2.34E-4</v>
      </c>
      <c r="L14" s="11">
        <v>2.0699999999999999E-4</v>
      </c>
      <c r="M14" s="11">
        <v>1.93E-4</v>
      </c>
      <c r="N14" s="11">
        <v>1.9100000000000001E-4</v>
      </c>
      <c r="O14" s="11">
        <v>2.0799999999999999E-4</v>
      </c>
      <c r="P14" s="11">
        <v>2.2499999999999999E-4</v>
      </c>
      <c r="Q14" s="11">
        <v>2.42E-4</v>
      </c>
      <c r="R14" s="11">
        <v>2.5999999999999998E-4</v>
      </c>
      <c r="S14" s="11">
        <v>2.7799999999999998E-4</v>
      </c>
      <c r="T14" s="11">
        <v>2.9599999999999998E-4</v>
      </c>
      <c r="U14" s="11">
        <v>3.1500000000000001E-4</v>
      </c>
      <c r="V14" s="11">
        <v>3.3399999999999999E-4</v>
      </c>
      <c r="W14" s="11">
        <v>3.5399999999999999E-4</v>
      </c>
      <c r="X14" s="11">
        <v>3.7599999999999998E-4</v>
      </c>
      <c r="Y14" s="11">
        <v>3.9800000000000002E-4</v>
      </c>
      <c r="Z14" s="11">
        <v>4.2099999999999999E-4</v>
      </c>
      <c r="AA14" s="11">
        <v>4.46E-4</v>
      </c>
      <c r="AB14" s="11">
        <v>4.73E-4</v>
      </c>
      <c r="AC14" s="11">
        <v>5.0100000000000003E-4</v>
      </c>
      <c r="AD14" s="11">
        <v>5.31E-4</v>
      </c>
      <c r="AE14" s="11">
        <v>5.6300000000000002E-4</v>
      </c>
      <c r="AF14" s="11">
        <v>5.9800000000000001E-4</v>
      </c>
      <c r="AG14" s="11">
        <v>6.3599999999999996E-4</v>
      </c>
      <c r="AH14" s="11">
        <v>6.7699999999999998E-4</v>
      </c>
      <c r="AI14" s="11">
        <v>7.2099999999999996E-4</v>
      </c>
      <c r="AJ14" s="11">
        <v>7.6999999999999996E-4</v>
      </c>
      <c r="AK14" s="11">
        <v>8.2200000000000003E-4</v>
      </c>
      <c r="AL14" s="11">
        <v>8.7900000000000001E-4</v>
      </c>
      <c r="AM14" s="11">
        <v>9.4200000000000002E-4</v>
      </c>
      <c r="AN14" s="11">
        <v>1.01E-3</v>
      </c>
      <c r="AO14" s="11">
        <v>1.085E-3</v>
      </c>
      <c r="AP14" s="11">
        <v>1.1670000000000001E-3</v>
      </c>
      <c r="AQ14" s="11">
        <v>1.256E-3</v>
      </c>
      <c r="AR14" s="11">
        <v>1.3550000000000001E-3</v>
      </c>
      <c r="AS14" s="11">
        <v>1.464E-3</v>
      </c>
      <c r="AT14" s="11">
        <v>1.583E-3</v>
      </c>
      <c r="AU14" s="11">
        <v>1.7149999999999999E-3</v>
      </c>
      <c r="AV14" s="11">
        <v>1.859E-3</v>
      </c>
      <c r="AW14" s="11">
        <v>2.019E-3</v>
      </c>
      <c r="AX14" s="11">
        <v>2.196E-3</v>
      </c>
      <c r="AY14" s="11">
        <v>2.3909999999999999E-3</v>
      </c>
      <c r="AZ14" s="11">
        <v>2.6059999999999998E-3</v>
      </c>
      <c r="BA14" s="11">
        <v>2.8449999999999999E-3</v>
      </c>
      <c r="BB14" s="11">
        <v>3.1089999999999998E-3</v>
      </c>
      <c r="BC14" s="11">
        <v>3.3609999999999998E-3</v>
      </c>
      <c r="BD14" s="11">
        <v>3.6419999999999998E-3</v>
      </c>
      <c r="BE14" s="11">
        <v>3.9569999999999996E-3</v>
      </c>
      <c r="BF14" s="11">
        <v>4.3099999999999996E-3</v>
      </c>
      <c r="BG14" s="11">
        <v>4.705E-3</v>
      </c>
      <c r="BH14" s="11">
        <v>5.1460000000000004E-3</v>
      </c>
      <c r="BI14" s="11">
        <v>5.64E-3</v>
      </c>
      <c r="BJ14" s="11">
        <v>6.1929999999999997E-3</v>
      </c>
      <c r="BK14" s="11">
        <v>6.8120000000000003E-3</v>
      </c>
      <c r="BL14" s="11">
        <v>7.5040000000000003E-3</v>
      </c>
      <c r="BM14" s="11">
        <v>8.2780000000000006E-3</v>
      </c>
      <c r="BN14" s="11">
        <v>9.1439999999999994E-3</v>
      </c>
      <c r="BO14" s="11">
        <v>1.0111999999999999E-2</v>
      </c>
      <c r="BP14" s="11">
        <v>1.1195E-2</v>
      </c>
      <c r="BQ14" s="11">
        <v>1.2406E-2</v>
      </c>
      <c r="BR14" s="11">
        <v>1.3759E-2</v>
      </c>
      <c r="BS14" s="11">
        <v>1.5272000000000001E-2</v>
      </c>
      <c r="BT14" s="11">
        <v>1.6962999999999999E-2</v>
      </c>
      <c r="BU14" s="11">
        <v>1.8853000000000002E-2</v>
      </c>
      <c r="BV14" s="11">
        <v>2.0964E-2</v>
      </c>
      <c r="BW14" s="11">
        <v>2.3321000000000001E-2</v>
      </c>
      <c r="BX14" s="11">
        <v>2.5954000000000001E-2</v>
      </c>
      <c r="BY14" s="11">
        <v>2.8892000000000001E-2</v>
      </c>
      <c r="BZ14" s="11">
        <v>3.2170999999999998E-2</v>
      </c>
      <c r="CA14" s="11">
        <v>3.5829E-2</v>
      </c>
      <c r="CB14" s="11">
        <v>3.9906999999999998E-2</v>
      </c>
      <c r="CC14" s="11">
        <v>4.4450999999999997E-2</v>
      </c>
      <c r="CD14" s="11">
        <v>4.9513000000000001E-2</v>
      </c>
      <c r="CE14" s="11">
        <v>5.5147000000000002E-2</v>
      </c>
      <c r="CF14" s="11">
        <v>6.1414999999999997E-2</v>
      </c>
      <c r="CG14" s="11">
        <v>6.8382999999999999E-2</v>
      </c>
      <c r="CH14" s="11">
        <v>7.6120999999999994E-2</v>
      </c>
      <c r="CI14" s="11">
        <v>8.4707000000000005E-2</v>
      </c>
      <c r="CJ14" s="11">
        <v>9.4224000000000002E-2</v>
      </c>
      <c r="CK14" s="11">
        <v>0.10476000000000001</v>
      </c>
      <c r="CL14" s="11">
        <v>0.116409</v>
      </c>
      <c r="CM14" s="11">
        <v>0.12927</v>
      </c>
      <c r="CN14" s="11">
        <v>0.14344499999999999</v>
      </c>
      <c r="CO14" s="11">
        <v>0.15903999999999999</v>
      </c>
      <c r="CP14" s="11">
        <v>0.17616100000000001</v>
      </c>
      <c r="CQ14" s="11">
        <v>0.194913</v>
      </c>
      <c r="CR14" s="11">
        <v>0.21539900000000001</v>
      </c>
      <c r="CS14" s="11">
        <v>0.23771400000000001</v>
      </c>
      <c r="CT14" s="11">
        <v>0.26194299999999998</v>
      </c>
      <c r="CU14" s="11">
        <v>0.28815299999999999</v>
      </c>
      <c r="CV14" s="11">
        <v>0.31639099999999998</v>
      </c>
      <c r="CW14" s="11">
        <v>0.34667399999999998</v>
      </c>
      <c r="CX14" s="11">
        <v>0.37898599999999999</v>
      </c>
      <c r="CY14" s="11">
        <v>0.41326600000000002</v>
      </c>
      <c r="CZ14" s="11">
        <v>0.44940000000000002</v>
      </c>
      <c r="DA14" s="11">
        <v>0.48721599999999998</v>
      </c>
      <c r="DB14" s="11">
        <v>0.52647699999999997</v>
      </c>
      <c r="DC14" s="11">
        <v>0.56687200000000004</v>
      </c>
      <c r="DD14" s="11">
        <v>0.60801700000000003</v>
      </c>
      <c r="DE14" s="11">
        <v>0.64945900000000001</v>
      </c>
      <c r="DF14" s="11">
        <v>0.69067400000000001</v>
      </c>
      <c r="DG14" s="11">
        <v>0.73109199999999996</v>
      </c>
      <c r="DH14" s="11">
        <v>0.77010500000000004</v>
      </c>
      <c r="DI14" s="11">
        <v>1</v>
      </c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</row>
    <row r="15" spans="1:130">
      <c r="A15" s="2" t="s">
        <v>204</v>
      </c>
      <c r="B15" s="4" t="s">
        <v>195</v>
      </c>
      <c r="C15" s="2" t="s">
        <v>0</v>
      </c>
      <c r="D15" s="11">
        <v>4.0400000000000002E-3</v>
      </c>
      <c r="E15" s="11">
        <v>1.58E-3</v>
      </c>
      <c r="F15" s="11">
        <v>8.8699999999999998E-4</v>
      </c>
      <c r="G15" s="11">
        <v>7.1500000000000003E-4</v>
      </c>
      <c r="H15" s="11">
        <v>6.2699999999999995E-4</v>
      </c>
      <c r="I15" s="11">
        <v>5.6599999999999999E-4</v>
      </c>
      <c r="J15" s="11">
        <v>5.2599999999999999E-4</v>
      </c>
      <c r="K15" s="11">
        <v>5.0000000000000001E-4</v>
      </c>
      <c r="L15" s="11">
        <v>4.8700000000000002E-4</v>
      </c>
      <c r="M15" s="11">
        <v>4.8200000000000001E-4</v>
      </c>
      <c r="N15" s="11">
        <v>4.8299999999999998E-4</v>
      </c>
      <c r="O15" s="11">
        <v>4.9200000000000003E-4</v>
      </c>
      <c r="P15" s="11">
        <v>5.0199999999999995E-4</v>
      </c>
      <c r="Q15" s="11">
        <v>5.1199999999999998E-4</v>
      </c>
      <c r="R15" s="11">
        <v>5.2400000000000005E-4</v>
      </c>
      <c r="S15" s="11">
        <v>5.3700000000000004E-4</v>
      </c>
      <c r="T15" s="11">
        <v>5.5099999999999995E-4</v>
      </c>
      <c r="U15" s="11">
        <v>5.6700000000000001E-4</v>
      </c>
      <c r="V15" s="11">
        <v>5.8399999999999999E-4</v>
      </c>
      <c r="W15" s="11">
        <v>6.0300000000000002E-4</v>
      </c>
      <c r="X15" s="11">
        <v>6.2399999999999999E-4</v>
      </c>
      <c r="Y15" s="11">
        <v>6.4800000000000003E-4</v>
      </c>
      <c r="Z15" s="11">
        <v>6.7400000000000001E-4</v>
      </c>
      <c r="AA15" s="11">
        <v>7.0200000000000004E-4</v>
      </c>
      <c r="AB15" s="11">
        <v>7.3300000000000004E-4</v>
      </c>
      <c r="AC15" s="11">
        <v>7.6800000000000002E-4</v>
      </c>
      <c r="AD15" s="11">
        <v>8.0599999999999997E-4</v>
      </c>
      <c r="AE15" s="11">
        <v>8.4900000000000004E-4</v>
      </c>
      <c r="AF15" s="11">
        <v>8.9599999999999999E-4</v>
      </c>
      <c r="AG15" s="11">
        <v>9.4700000000000003E-4</v>
      </c>
      <c r="AH15" s="11">
        <v>1.0039999999999999E-3</v>
      </c>
      <c r="AI15" s="11">
        <v>1.067E-3</v>
      </c>
      <c r="AJ15" s="11">
        <v>1.1360000000000001E-3</v>
      </c>
      <c r="AK15" s="11">
        <v>1.2130000000000001E-3</v>
      </c>
      <c r="AL15" s="11">
        <v>1.297E-3</v>
      </c>
      <c r="AM15" s="11">
        <v>1.3910000000000001E-3</v>
      </c>
      <c r="AN15" s="11">
        <v>1.4940000000000001E-3</v>
      </c>
      <c r="AO15" s="11">
        <v>1.6069999999999999E-3</v>
      </c>
      <c r="AP15" s="11">
        <v>1.7329999999999999E-3</v>
      </c>
      <c r="AQ15" s="11">
        <v>1.872E-3</v>
      </c>
      <c r="AR15" s="11">
        <v>2.0249999999999999E-3</v>
      </c>
      <c r="AS15" s="11">
        <v>2.2200000000000002E-3</v>
      </c>
      <c r="AT15" s="11">
        <v>2.4810000000000001E-3</v>
      </c>
      <c r="AU15" s="11">
        <v>2.8040000000000001E-3</v>
      </c>
      <c r="AV15" s="11">
        <v>3.1870000000000002E-3</v>
      </c>
      <c r="AW15" s="11">
        <v>3.6250000000000002E-3</v>
      </c>
      <c r="AX15" s="11">
        <v>4.1159999999999999E-3</v>
      </c>
      <c r="AY15" s="11">
        <v>4.6569999999999997E-3</v>
      </c>
      <c r="AZ15" s="11">
        <v>5.2459999999999998E-3</v>
      </c>
      <c r="BA15" s="11">
        <v>5.8799999999999998E-3</v>
      </c>
      <c r="BB15" s="11">
        <v>6.5570000000000003E-3</v>
      </c>
      <c r="BC15" s="11">
        <v>7.2769999999999996E-3</v>
      </c>
      <c r="BD15" s="11">
        <v>8.038E-3</v>
      </c>
      <c r="BE15" s="11">
        <v>8.8400000000000006E-3</v>
      </c>
      <c r="BF15" s="11">
        <v>9.6819999999999996E-3</v>
      </c>
      <c r="BG15" s="11">
        <v>1.0565E-2</v>
      </c>
      <c r="BH15" s="11">
        <v>1.1490999999999999E-2</v>
      </c>
      <c r="BI15" s="11">
        <v>1.2460000000000001E-2</v>
      </c>
      <c r="BJ15" s="11">
        <v>1.3476E-2</v>
      </c>
      <c r="BK15" s="11">
        <v>1.4541999999999999E-2</v>
      </c>
      <c r="BL15" s="11">
        <v>1.5661999999999999E-2</v>
      </c>
      <c r="BM15" s="11">
        <v>1.6868999999999999E-2</v>
      </c>
      <c r="BN15" s="11">
        <v>1.8199E-2</v>
      </c>
      <c r="BO15" s="11">
        <v>1.9665999999999999E-2</v>
      </c>
      <c r="BP15" s="11">
        <v>2.1283E-2</v>
      </c>
      <c r="BQ15" s="11">
        <v>2.3066E-2</v>
      </c>
      <c r="BR15" s="11">
        <v>2.503E-2</v>
      </c>
      <c r="BS15" s="11">
        <v>2.7192999999999998E-2</v>
      </c>
      <c r="BT15" s="11">
        <v>2.9576999999999999E-2</v>
      </c>
      <c r="BU15" s="11">
        <v>3.2202000000000001E-2</v>
      </c>
      <c r="BV15" s="11">
        <v>3.5091999999999998E-2</v>
      </c>
      <c r="BW15" s="11">
        <v>3.8272E-2</v>
      </c>
      <c r="BX15" s="11">
        <v>4.1771000000000003E-2</v>
      </c>
      <c r="BY15" s="11">
        <v>4.5620000000000001E-2</v>
      </c>
      <c r="BZ15" s="11">
        <v>4.9852E-2</v>
      </c>
      <c r="CA15" s="11">
        <v>5.4501000000000001E-2</v>
      </c>
      <c r="CB15" s="11">
        <v>5.9609000000000002E-2</v>
      </c>
      <c r="CC15" s="11">
        <v>6.5215999999999996E-2</v>
      </c>
      <c r="CD15" s="11">
        <v>7.1368000000000001E-2</v>
      </c>
      <c r="CE15" s="11">
        <v>7.8113000000000002E-2</v>
      </c>
      <c r="CF15" s="11">
        <v>8.5502999999999996E-2</v>
      </c>
      <c r="CG15" s="11">
        <v>9.3592999999999996E-2</v>
      </c>
      <c r="CH15" s="11">
        <v>0.10244300000000001</v>
      </c>
      <c r="CI15" s="11">
        <v>0.112113</v>
      </c>
      <c r="CJ15" s="11">
        <v>0.122669</v>
      </c>
      <c r="CK15" s="11">
        <v>0.13417799999999999</v>
      </c>
      <c r="CL15" s="11">
        <v>0.14670900000000001</v>
      </c>
      <c r="CM15" s="11">
        <v>0.160333</v>
      </c>
      <c r="CN15" s="11">
        <v>0.175124</v>
      </c>
      <c r="CO15" s="11">
        <v>0.19115099999999999</v>
      </c>
      <c r="CP15" s="11">
        <v>0.208485</v>
      </c>
      <c r="CQ15" s="11">
        <v>0.22719200000000001</v>
      </c>
      <c r="CR15" s="11">
        <v>0.247332</v>
      </c>
      <c r="CS15" s="11">
        <v>0.26895999999999998</v>
      </c>
      <c r="CT15" s="11">
        <v>0.29211799999999999</v>
      </c>
      <c r="CU15" s="11">
        <v>0.316834</v>
      </c>
      <c r="CV15" s="11">
        <v>0.34312199999999998</v>
      </c>
      <c r="CW15" s="11">
        <v>0.370973</v>
      </c>
      <c r="CX15" s="11">
        <v>0.40035199999999999</v>
      </c>
      <c r="CY15" s="11">
        <v>0.431199</v>
      </c>
      <c r="CZ15" s="11">
        <v>0.46341500000000002</v>
      </c>
      <c r="DA15" s="11">
        <v>0.49686999999999998</v>
      </c>
      <c r="DB15" s="11">
        <v>0.531389</v>
      </c>
      <c r="DC15" s="11">
        <v>0.56675699999999996</v>
      </c>
      <c r="DD15" s="11">
        <v>0.60271399999999997</v>
      </c>
      <c r="DE15" s="11">
        <v>0.63895599999999997</v>
      </c>
      <c r="DF15" s="11">
        <v>0.67514300000000005</v>
      </c>
      <c r="DG15" s="11">
        <v>0.71089800000000003</v>
      </c>
      <c r="DH15" s="11">
        <v>0.74582199999999998</v>
      </c>
      <c r="DI15" s="11">
        <v>1</v>
      </c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</row>
    <row r="16" spans="1:130">
      <c r="A16" s="2" t="s">
        <v>204</v>
      </c>
      <c r="B16" s="4" t="s">
        <v>4</v>
      </c>
      <c r="C16" s="2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>
        <v>4.8299999999999998E-4</v>
      </c>
      <c r="O16" s="11">
        <v>4.9200000000000003E-4</v>
      </c>
      <c r="P16" s="11">
        <v>5.0199999999999995E-4</v>
      </c>
      <c r="Q16" s="11">
        <v>5.1199999999999998E-4</v>
      </c>
      <c r="R16" s="11">
        <v>5.2400000000000005E-4</v>
      </c>
      <c r="S16" s="11">
        <v>5.3700000000000004E-4</v>
      </c>
      <c r="T16" s="11">
        <v>5.5100000000000006E-4</v>
      </c>
      <c r="U16" s="11">
        <v>5.669999999999999E-4</v>
      </c>
      <c r="V16" s="11">
        <v>5.8399999999999999E-4</v>
      </c>
      <c r="W16" s="11">
        <v>6.0300000000000002E-4</v>
      </c>
      <c r="X16" s="11">
        <v>6.2399999999999999E-4</v>
      </c>
      <c r="Y16" s="11">
        <v>6.4800000000000003E-4</v>
      </c>
      <c r="Z16" s="11">
        <v>6.7400000000000001E-4</v>
      </c>
      <c r="AA16" s="11">
        <v>7.0199999999999993E-4</v>
      </c>
      <c r="AB16" s="11">
        <v>7.3300000000000004E-4</v>
      </c>
      <c r="AC16" s="11">
        <v>7.6800000000000002E-4</v>
      </c>
      <c r="AD16" s="11">
        <v>8.0600000000000008E-4</v>
      </c>
      <c r="AE16" s="11">
        <v>8.4899999999999993E-4</v>
      </c>
      <c r="AF16" s="11">
        <v>8.9599999999999999E-4</v>
      </c>
      <c r="AG16" s="11">
        <v>9.4699999999999993E-4</v>
      </c>
      <c r="AH16" s="11">
        <v>1.0039999999999999E-3</v>
      </c>
      <c r="AI16" s="11">
        <v>1.067E-3</v>
      </c>
      <c r="AJ16" s="11">
        <v>1.1359999999999999E-3</v>
      </c>
      <c r="AK16" s="11">
        <v>1.2130000000000001E-3</v>
      </c>
      <c r="AL16" s="11">
        <v>1.297E-3</v>
      </c>
      <c r="AM16" s="11">
        <v>1.3910000000000001E-3</v>
      </c>
      <c r="AN16" s="11">
        <v>1.4940000000000001E-3</v>
      </c>
      <c r="AO16" s="11">
        <v>1.6069999999999999E-3</v>
      </c>
      <c r="AP16" s="11">
        <v>1.7330000000000002E-3</v>
      </c>
      <c r="AQ16" s="11">
        <v>1.8720000000000002E-3</v>
      </c>
      <c r="AR16" s="11">
        <v>2.0249999999999999E-3</v>
      </c>
      <c r="AS16" s="11">
        <v>2.2200000000000002E-3</v>
      </c>
      <c r="AT16" s="11">
        <v>2.4809999999999997E-3</v>
      </c>
      <c r="AU16" s="11">
        <v>2.8039999999999996E-3</v>
      </c>
      <c r="AV16" s="11">
        <v>3.1869999999999997E-3</v>
      </c>
      <c r="AW16" s="11">
        <v>3.6250000000000002E-3</v>
      </c>
      <c r="AX16" s="11">
        <v>4.1159999999999999E-3</v>
      </c>
      <c r="AY16" s="11">
        <v>4.6569999999999997E-3</v>
      </c>
      <c r="AZ16" s="11">
        <v>5.2460000000000007E-3</v>
      </c>
      <c r="BA16" s="11">
        <v>5.8799999999999998E-3</v>
      </c>
      <c r="BB16" s="11">
        <v>6.5570000000000003E-3</v>
      </c>
      <c r="BC16" s="11">
        <v>7.2769999999999996E-3</v>
      </c>
      <c r="BD16" s="11">
        <v>8.038E-3</v>
      </c>
      <c r="BE16" s="11">
        <v>8.8400000000000006E-3</v>
      </c>
      <c r="BF16" s="11">
        <v>9.6819999999999996E-3</v>
      </c>
      <c r="BG16" s="11">
        <v>1.0565E-2</v>
      </c>
      <c r="BH16" s="11">
        <v>1.1490999999999999E-2</v>
      </c>
      <c r="BI16" s="11">
        <v>1.2460000000000001E-2</v>
      </c>
      <c r="BJ16" s="11">
        <v>1.3476E-2</v>
      </c>
      <c r="BK16" s="11">
        <v>1.4541999999999999E-2</v>
      </c>
      <c r="BL16" s="11">
        <v>1.5662000000000002E-2</v>
      </c>
      <c r="BM16" s="11">
        <v>1.6919E-2</v>
      </c>
      <c r="BN16" s="11">
        <v>1.8348E-2</v>
      </c>
      <c r="BO16" s="11">
        <v>1.9986E-2</v>
      </c>
      <c r="BP16" s="11">
        <v>2.1867999999999999E-2</v>
      </c>
      <c r="BQ16" s="11">
        <v>2.4012000000000002E-2</v>
      </c>
      <c r="BR16" s="11">
        <v>2.6411999999999998E-2</v>
      </c>
      <c r="BS16" s="11">
        <v>2.9045000000000001E-2</v>
      </c>
      <c r="BT16" s="11">
        <v>3.1866999999999999E-2</v>
      </c>
      <c r="BU16" s="11">
        <v>3.4835999999999999E-2</v>
      </c>
      <c r="BV16" s="11">
        <v>3.7915999999999998E-2</v>
      </c>
      <c r="BW16" s="11">
        <v>4.1100999999999999E-2</v>
      </c>
      <c r="BX16" s="11">
        <v>4.4420000000000001E-2</v>
      </c>
      <c r="BY16" s="11">
        <v>4.7987000000000002E-2</v>
      </c>
      <c r="BZ16" s="11">
        <v>5.1822E-2</v>
      </c>
      <c r="CA16" s="11">
        <v>5.5945999999999996E-2</v>
      </c>
      <c r="CB16" s="11">
        <v>6.0380999999999997E-2</v>
      </c>
      <c r="CC16" s="11">
        <v>6.5140000000000003E-2</v>
      </c>
      <c r="CD16" s="11">
        <v>7.0252999999999996E-2</v>
      </c>
      <c r="CE16" s="11">
        <v>7.5741000000000003E-2</v>
      </c>
      <c r="CF16" s="11">
        <v>8.1626999999999991E-2</v>
      </c>
      <c r="CG16" s="11">
        <v>8.7937000000000001E-2</v>
      </c>
      <c r="CH16" s="11">
        <v>9.4700000000000006E-2</v>
      </c>
      <c r="CI16" s="11">
        <v>0.10194400000000001</v>
      </c>
      <c r="CJ16" s="11">
        <v>0.109694</v>
      </c>
      <c r="CK16" s="11">
        <v>0.11798699999999999</v>
      </c>
      <c r="CL16" s="11">
        <v>0.12684300000000001</v>
      </c>
      <c r="CM16" s="11">
        <v>0.13630699999999998</v>
      </c>
      <c r="CN16" s="11">
        <v>0.146397</v>
      </c>
      <c r="CO16" s="11">
        <v>0.15715299999999999</v>
      </c>
      <c r="CP16" s="11">
        <v>0.168604</v>
      </c>
      <c r="CQ16" s="11">
        <v>0.180783</v>
      </c>
      <c r="CR16" s="11">
        <v>0.19372399999999998</v>
      </c>
      <c r="CS16" s="11">
        <v>0.20744599999999999</v>
      </c>
      <c r="CT16" s="11">
        <v>0.22196199999999999</v>
      </c>
      <c r="CU16" s="11">
        <v>0.237316</v>
      </c>
      <c r="CV16" s="11">
        <v>0.25348700000000002</v>
      </c>
      <c r="CW16" s="11">
        <v>0.271569</v>
      </c>
      <c r="CX16" s="11">
        <v>0.29313799999999995</v>
      </c>
      <c r="CY16" s="11">
        <v>0.31843400000000005</v>
      </c>
      <c r="CZ16" s="11">
        <v>0.34787299999999999</v>
      </c>
      <c r="DA16" s="11">
        <v>0.38243400000000005</v>
      </c>
      <c r="DB16" s="11">
        <v>0.42281000000000002</v>
      </c>
      <c r="DC16" s="11">
        <v>0.52403999999999995</v>
      </c>
      <c r="DD16" s="11">
        <v>0.59111599999999997</v>
      </c>
      <c r="DE16" s="11">
        <v>0.6703579999999999</v>
      </c>
      <c r="DF16" s="11">
        <v>0.77552500000000002</v>
      </c>
      <c r="DG16" s="11">
        <v>0.83333299999999999</v>
      </c>
      <c r="DH16" s="11">
        <v>1</v>
      </c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</row>
    <row r="17" spans="1:130">
      <c r="A17" s="2" t="s">
        <v>204</v>
      </c>
      <c r="B17" s="4" t="s">
        <v>5</v>
      </c>
      <c r="C17" s="2"/>
      <c r="D17" s="11" t="s">
        <v>206</v>
      </c>
      <c r="E17" s="11" t="s">
        <v>206</v>
      </c>
      <c r="F17" s="11" t="s">
        <v>206</v>
      </c>
      <c r="G17" s="11" t="s">
        <v>206</v>
      </c>
      <c r="H17" s="11" t="s">
        <v>206</v>
      </c>
      <c r="I17" s="11">
        <v>3.6999999999999999E-4</v>
      </c>
      <c r="J17" s="11">
        <v>3.8000000000000002E-4</v>
      </c>
      <c r="K17" s="11">
        <v>3.8999999999999999E-4</v>
      </c>
      <c r="L17" s="11">
        <v>4.0000000000000002E-4</v>
      </c>
      <c r="M17" s="11">
        <v>4.0999999999999999E-4</v>
      </c>
      <c r="N17" s="11">
        <v>4.1999999999999996E-4</v>
      </c>
      <c r="O17" s="11">
        <v>4.2999999999999999E-4</v>
      </c>
      <c r="P17" s="11">
        <v>4.4099999999999999E-4</v>
      </c>
      <c r="Q17" s="11">
        <v>4.5200000000000004E-4</v>
      </c>
      <c r="R17" s="11">
        <v>4.6300000000000003E-4</v>
      </c>
      <c r="S17" s="11">
        <v>4.75E-4</v>
      </c>
      <c r="T17" s="11">
        <v>4.8799999999999999E-4</v>
      </c>
      <c r="U17" s="11">
        <v>5.0199999999999995E-4</v>
      </c>
      <c r="V17" s="11">
        <v>5.1699999999999999E-4</v>
      </c>
      <c r="W17" s="11">
        <v>5.3400000000000008E-4</v>
      </c>
      <c r="X17" s="11">
        <v>5.53E-4</v>
      </c>
      <c r="Y17" s="11">
        <v>5.7399999999999997E-4</v>
      </c>
      <c r="Z17" s="11">
        <v>5.9699999999999998E-4</v>
      </c>
      <c r="AA17" s="11">
        <v>6.2200000000000005E-4</v>
      </c>
      <c r="AB17" s="11">
        <v>6.4900000000000005E-4</v>
      </c>
      <c r="AC17" s="11">
        <v>6.7900000000000002E-4</v>
      </c>
      <c r="AD17" s="11">
        <v>7.1199999999999996E-4</v>
      </c>
      <c r="AE17" s="11">
        <v>7.4899999999999999E-4</v>
      </c>
      <c r="AF17" s="11">
        <v>7.9100000000000004E-4</v>
      </c>
      <c r="AG17" s="11">
        <v>8.3900000000000001E-4</v>
      </c>
      <c r="AH17" s="11">
        <v>8.9300000000000002E-4</v>
      </c>
      <c r="AI17" s="11">
        <v>9.5299999999999996E-4</v>
      </c>
      <c r="AJ17" s="11">
        <v>1.0200000000000001E-3</v>
      </c>
      <c r="AK17" s="11">
        <v>1.0950000000000001E-3</v>
      </c>
      <c r="AL17" s="11">
        <v>1.1790000000000001E-3</v>
      </c>
      <c r="AM17" s="11">
        <v>1.2729999999999998E-3</v>
      </c>
      <c r="AN17" s="11">
        <v>1.3779999999999999E-3</v>
      </c>
      <c r="AO17" s="11">
        <v>1.495E-3</v>
      </c>
      <c r="AP17" s="11">
        <v>1.624E-3</v>
      </c>
      <c r="AQ17" s="11">
        <v>1.7669999999999999E-3</v>
      </c>
      <c r="AR17" s="11">
        <v>1.9250000000000001E-3</v>
      </c>
      <c r="AS17" s="11">
        <v>2.0990000000000002E-3</v>
      </c>
      <c r="AT17" s="11">
        <v>2.2899999999999999E-3</v>
      </c>
      <c r="AU17" s="11">
        <v>2.4989999999999999E-3</v>
      </c>
      <c r="AV17" s="11">
        <v>2.7269999999999998E-3</v>
      </c>
      <c r="AW17" s="11">
        <v>2.9750000000000002E-3</v>
      </c>
      <c r="AX17" s="11">
        <v>3.2440000000000004E-3</v>
      </c>
      <c r="AY17" s="11">
        <v>3.5349999999999999E-3</v>
      </c>
      <c r="AZ17" s="11">
        <v>3.849E-3</v>
      </c>
      <c r="BA17" s="11">
        <v>4.1869999999999997E-3</v>
      </c>
      <c r="BB17" s="11">
        <v>4.5500000000000002E-3</v>
      </c>
      <c r="BC17" s="11">
        <v>4.9430000000000003E-3</v>
      </c>
      <c r="BD17" s="11">
        <v>5.378E-3</v>
      </c>
      <c r="BE17" s="11">
        <v>5.868E-3</v>
      </c>
      <c r="BF17" s="11">
        <v>6.4279999999999997E-3</v>
      </c>
      <c r="BG17" s="11">
        <v>7.0730000000000003E-3</v>
      </c>
      <c r="BH17" s="11">
        <v>7.8180000000000003E-3</v>
      </c>
      <c r="BI17" s="11">
        <v>8.6780000000000017E-3</v>
      </c>
      <c r="BJ17" s="11">
        <v>9.666000000000001E-3</v>
      </c>
      <c r="BK17" s="11">
        <v>1.0782E-2</v>
      </c>
      <c r="BL17" s="11">
        <v>1.2026999999999999E-2</v>
      </c>
      <c r="BM17" s="11">
        <v>1.3401E-2</v>
      </c>
      <c r="BN17" s="11">
        <v>1.4900999999999999E-2</v>
      </c>
      <c r="BO17" s="11">
        <v>1.6525999999999999E-2</v>
      </c>
      <c r="BP17" s="11">
        <v>1.8286E-2</v>
      </c>
      <c r="BQ17" s="11">
        <v>2.0192000000000002E-2</v>
      </c>
      <c r="BR17" s="11">
        <v>2.2256000000000001E-2</v>
      </c>
      <c r="BS17" s="11">
        <v>2.4490999999999999E-2</v>
      </c>
      <c r="BT17" s="11">
        <v>2.6911000000000001E-2</v>
      </c>
      <c r="BU17" s="11">
        <v>2.9530999999999998E-2</v>
      </c>
      <c r="BV17" s="11">
        <v>3.2367E-2</v>
      </c>
      <c r="BW17" s="11">
        <v>3.5436000000000002E-2</v>
      </c>
      <c r="BX17" s="11">
        <v>3.8755999999999999E-2</v>
      </c>
      <c r="BY17" s="11">
        <v>4.2345999999999995E-2</v>
      </c>
      <c r="BZ17" s="11">
        <v>4.6225999999999996E-2</v>
      </c>
      <c r="CA17" s="11">
        <v>5.0417000000000003E-2</v>
      </c>
      <c r="CB17" s="11">
        <v>5.4941000000000004E-2</v>
      </c>
      <c r="CC17" s="11">
        <v>5.9820999999999999E-2</v>
      </c>
      <c r="CD17" s="11">
        <v>6.5081E-2</v>
      </c>
      <c r="CE17" s="11">
        <v>7.0747000000000004E-2</v>
      </c>
      <c r="CF17" s="11">
        <v>7.6846999999999999E-2</v>
      </c>
      <c r="CG17" s="11">
        <v>8.3410999999999999E-2</v>
      </c>
      <c r="CH17" s="11">
        <v>9.047100000000001E-2</v>
      </c>
      <c r="CI17" s="11">
        <v>9.8061000000000009E-2</v>
      </c>
      <c r="CJ17" s="11">
        <v>0.10621699999999999</v>
      </c>
      <c r="CK17" s="11">
        <v>0.11497700000000001</v>
      </c>
      <c r="CL17" s="11">
        <v>0.12437999999999999</v>
      </c>
      <c r="CM17" s="11">
        <v>0.134466</v>
      </c>
      <c r="CN17" s="11">
        <v>0.14527400000000001</v>
      </c>
      <c r="CO17" s="11">
        <v>0.15684100000000001</v>
      </c>
      <c r="CP17" s="11">
        <v>0.16920199999999999</v>
      </c>
      <c r="CQ17" s="11">
        <v>0.18238900000000002</v>
      </c>
      <c r="CR17" s="11">
        <v>0.19643100000000002</v>
      </c>
      <c r="CS17" s="11">
        <v>0.21135499999999999</v>
      </c>
      <c r="CT17" s="11">
        <v>0.227186</v>
      </c>
      <c r="CU17" s="11">
        <v>0.243947</v>
      </c>
      <c r="CV17" s="11">
        <v>0.26165899999999997</v>
      </c>
      <c r="CW17" s="11">
        <v>0.28034199999999998</v>
      </c>
      <c r="CX17" s="11">
        <v>0.30001499999999998</v>
      </c>
      <c r="CY17" s="11">
        <v>0.32069600000000004</v>
      </c>
      <c r="CZ17" s="11">
        <v>0.34240199999999998</v>
      </c>
      <c r="DA17" s="11">
        <v>0.36514999999999997</v>
      </c>
      <c r="DB17" s="11">
        <v>0.38895600000000002</v>
      </c>
      <c r="DC17" s="11">
        <v>0.43980599999999997</v>
      </c>
      <c r="DD17" s="11">
        <v>0.46688099999999999</v>
      </c>
      <c r="DE17" s="11">
        <v>0.49507600000000002</v>
      </c>
      <c r="DF17" s="11">
        <v>0.52440599999999993</v>
      </c>
      <c r="DG17" s="11">
        <v>0.55488599999999999</v>
      </c>
      <c r="DH17" s="11">
        <v>0.58755400000000002</v>
      </c>
      <c r="DI17" s="11">
        <v>0.62458599999999997</v>
      </c>
      <c r="DJ17" s="11">
        <v>0.67036099999999998</v>
      </c>
      <c r="DK17" s="11">
        <v>0.73361900000000002</v>
      </c>
      <c r="DL17" s="11">
        <v>0.831839</v>
      </c>
      <c r="DM17" s="11">
        <v>1</v>
      </c>
      <c r="DN17" s="11" t="s">
        <v>206</v>
      </c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</row>
    <row r="18" spans="1:130">
      <c r="A18" s="2" t="s">
        <v>204</v>
      </c>
      <c r="B18" s="4" t="s">
        <v>6</v>
      </c>
      <c r="C18" s="2"/>
      <c r="D18" s="11" t="s">
        <v>206</v>
      </c>
      <c r="E18" s="11" t="s">
        <v>206</v>
      </c>
      <c r="F18" s="11" t="s">
        <v>206</v>
      </c>
      <c r="G18" s="11" t="s">
        <v>206</v>
      </c>
      <c r="H18" s="11" t="s">
        <v>206</v>
      </c>
      <c r="I18" s="11">
        <v>4.6000000000000001E-4</v>
      </c>
      <c r="J18" s="11">
        <v>4.1999999999999996E-4</v>
      </c>
      <c r="K18" s="11">
        <v>4.0000000000000002E-4</v>
      </c>
      <c r="L18" s="11">
        <v>3.8999999999999999E-4</v>
      </c>
      <c r="M18" s="11">
        <v>3.8999999999999999E-4</v>
      </c>
      <c r="N18" s="11">
        <v>3.8999999999999999E-4</v>
      </c>
      <c r="O18" s="11">
        <v>4.0000000000000002E-4</v>
      </c>
      <c r="P18" s="11">
        <v>4.0999999999999999E-4</v>
      </c>
      <c r="Q18" s="11">
        <v>4.0999999999999999E-4</v>
      </c>
      <c r="R18" s="11">
        <v>4.1999999999999996E-4</v>
      </c>
      <c r="S18" s="11">
        <v>4.2999999999999999E-4</v>
      </c>
      <c r="T18" s="11">
        <v>4.4000000000000002E-4</v>
      </c>
      <c r="U18" s="11">
        <v>4.6000000000000001E-4</v>
      </c>
      <c r="V18" s="11">
        <v>4.6999999999999999E-4</v>
      </c>
      <c r="W18" s="11">
        <v>4.8999999999999998E-4</v>
      </c>
      <c r="X18" s="11">
        <v>5.0000000000000001E-4</v>
      </c>
      <c r="Y18" s="11">
        <v>5.2000000000000006E-4</v>
      </c>
      <c r="Z18" s="11">
        <v>5.4000000000000001E-4</v>
      </c>
      <c r="AA18" s="11">
        <v>5.6999999999999998E-4</v>
      </c>
      <c r="AB18" s="11">
        <v>5.8999999999999992E-4</v>
      </c>
      <c r="AC18" s="11">
        <v>6.2E-4</v>
      </c>
      <c r="AD18" s="11">
        <v>6.4999999999999997E-4</v>
      </c>
      <c r="AE18" s="11">
        <v>6.8000000000000005E-4</v>
      </c>
      <c r="AF18" s="11">
        <v>7.1999999999999994E-4</v>
      </c>
      <c r="AG18" s="11">
        <v>7.6000000000000004E-4</v>
      </c>
      <c r="AH18" s="11">
        <v>8.1000000000000006E-4</v>
      </c>
      <c r="AI18" s="11">
        <v>8.5999999999999998E-4</v>
      </c>
      <c r="AJ18" s="11">
        <v>9.2000000000000003E-4</v>
      </c>
      <c r="AK18" s="11">
        <v>9.7999999999999997E-4</v>
      </c>
      <c r="AL18" s="11">
        <v>1.0499999999999999E-3</v>
      </c>
      <c r="AM18" s="11">
        <v>1.1199999999999999E-3</v>
      </c>
      <c r="AN18" s="11">
        <v>1.1999999999999999E-3</v>
      </c>
      <c r="AO18" s="11">
        <v>1.2999999999999999E-3</v>
      </c>
      <c r="AP18" s="11">
        <v>1.4E-3</v>
      </c>
      <c r="AQ18" s="11">
        <v>1.5100000000000001E-3</v>
      </c>
      <c r="AR18" s="11">
        <v>1.6299999999999999E-3</v>
      </c>
      <c r="AS18" s="11">
        <v>1.7899999999999999E-3</v>
      </c>
      <c r="AT18" s="11">
        <v>2E-3</v>
      </c>
      <c r="AU18" s="11">
        <v>2.2599999999999999E-3</v>
      </c>
      <c r="AV18" s="11">
        <v>2.5699999999999998E-3</v>
      </c>
      <c r="AW18" s="11">
        <v>2.9199999999999999E-3</v>
      </c>
      <c r="AX18" s="11">
        <v>3.32E-3</v>
      </c>
      <c r="AY18" s="11">
        <v>3.7499999999999999E-3</v>
      </c>
      <c r="AZ18" s="11">
        <v>4.2300000000000003E-3</v>
      </c>
      <c r="BA18" s="11">
        <v>4.7400000000000003E-3</v>
      </c>
      <c r="BB18" s="11">
        <v>5.2900000000000004E-3</v>
      </c>
      <c r="BC18" s="11">
        <v>5.8799999999999998E-3</v>
      </c>
      <c r="BD18" s="11">
        <v>6.4599999999999996E-3</v>
      </c>
      <c r="BE18" s="11">
        <v>7.0899999999999999E-3</v>
      </c>
      <c r="BF18" s="11">
        <v>7.7400000000000004E-3</v>
      </c>
      <c r="BG18" s="11">
        <v>8.4200000000000004E-3</v>
      </c>
      <c r="BH18" s="11">
        <v>9.1199999999999996E-3</v>
      </c>
      <c r="BI18" s="11">
        <v>9.8499999999999994E-3</v>
      </c>
      <c r="BJ18" s="11">
        <v>1.061E-2</v>
      </c>
      <c r="BK18" s="11">
        <v>1.141E-2</v>
      </c>
      <c r="BL18" s="11">
        <v>1.225E-2</v>
      </c>
      <c r="BM18" s="11">
        <v>1.3129999999999999E-2</v>
      </c>
      <c r="BN18" s="11">
        <v>1.4069999999999999E-2</v>
      </c>
      <c r="BO18" s="11">
        <v>1.508E-2</v>
      </c>
      <c r="BP18" s="11">
        <v>1.619E-2</v>
      </c>
      <c r="BQ18" s="11">
        <v>1.7409999999999998E-2</v>
      </c>
      <c r="BR18" s="11">
        <v>1.8769999999999998E-2</v>
      </c>
      <c r="BS18" s="11">
        <v>2.0289999999999999E-2</v>
      </c>
      <c r="BT18" s="11">
        <v>2.1989999999999999E-2</v>
      </c>
      <c r="BU18" s="11">
        <v>2.3890000000000002E-2</v>
      </c>
      <c r="BV18" s="11">
        <v>2.5999999999999999E-2</v>
      </c>
      <c r="BW18" s="11">
        <v>2.8340000000000001E-2</v>
      </c>
      <c r="BX18" s="11">
        <v>3.0929999999999999E-2</v>
      </c>
      <c r="BY18" s="11">
        <v>3.3799999999999997E-2</v>
      </c>
      <c r="BZ18" s="11">
        <v>3.6979999999999999E-2</v>
      </c>
      <c r="CA18" s="11">
        <v>4.0489999999999998E-2</v>
      </c>
      <c r="CB18" s="11">
        <v>4.4389999999999999E-2</v>
      </c>
      <c r="CC18" s="11">
        <v>4.8719999999999999E-2</v>
      </c>
      <c r="CD18" s="11">
        <v>5.3499999999999999E-2</v>
      </c>
      <c r="CE18" s="11">
        <v>5.8790000000000002E-2</v>
      </c>
      <c r="CF18" s="11">
        <v>6.4600000000000005E-2</v>
      </c>
      <c r="CG18" s="11">
        <v>7.0900000000000005E-2</v>
      </c>
      <c r="CH18" s="11">
        <v>7.7670000000000003E-2</v>
      </c>
      <c r="CI18" s="11">
        <v>8.4940000000000002E-2</v>
      </c>
      <c r="CJ18" s="11">
        <v>9.2869999999999994E-2</v>
      </c>
      <c r="CK18" s="11">
        <v>0.10169</v>
      </c>
      <c r="CL18" s="11">
        <v>0.11165</v>
      </c>
      <c r="CM18" s="11">
        <v>0.12305000000000001</v>
      </c>
      <c r="CN18" s="11">
        <v>0.13611999999999999</v>
      </c>
      <c r="CO18" s="11">
        <v>0.15107000000000001</v>
      </c>
      <c r="CP18" s="11">
        <v>0.16803999999999999</v>
      </c>
      <c r="CQ18" s="11">
        <v>0.18715000000000001</v>
      </c>
      <c r="CR18" s="11">
        <v>0.20846000000000001</v>
      </c>
      <c r="CS18" s="11">
        <v>0.23189000000000001</v>
      </c>
      <c r="CT18" s="11">
        <v>0.25714999999999999</v>
      </c>
      <c r="CU18" s="11">
        <v>0.28383999999999998</v>
      </c>
      <c r="CV18" s="11">
        <v>0.31157000000000001</v>
      </c>
      <c r="CW18" s="11">
        <v>0.34021000000000001</v>
      </c>
      <c r="CX18" s="11">
        <v>0.36976999999999999</v>
      </c>
      <c r="CY18" s="11">
        <v>0.40018999999999999</v>
      </c>
      <c r="CZ18" s="11">
        <v>0.43141000000000002</v>
      </c>
      <c r="DA18" s="11">
        <v>0.46331</v>
      </c>
      <c r="DB18" s="11">
        <v>0.49575999999999998</v>
      </c>
      <c r="DC18" s="11">
        <v>0.56169000000000002</v>
      </c>
      <c r="DD18" s="11">
        <v>0.59487999999999996</v>
      </c>
      <c r="DE18" s="11">
        <v>0.62802000000000002</v>
      </c>
      <c r="DF18" s="11">
        <v>0.66095000000000004</v>
      </c>
      <c r="DG18" s="11">
        <v>0.69350000000000001</v>
      </c>
      <c r="DH18" s="11">
        <v>0.72552000000000005</v>
      </c>
      <c r="DI18" s="11" t="s">
        <v>206</v>
      </c>
      <c r="DJ18" s="11" t="s">
        <v>206</v>
      </c>
      <c r="DK18" s="11" t="s">
        <v>206</v>
      </c>
      <c r="DL18" s="11" t="s">
        <v>206</v>
      </c>
      <c r="DM18" s="11" t="s">
        <v>206</v>
      </c>
      <c r="DN18" s="11" t="s">
        <v>206</v>
      </c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</row>
    <row r="19" spans="1:130">
      <c r="A19" s="2" t="s">
        <v>204</v>
      </c>
      <c r="B19" s="4" t="s">
        <v>197</v>
      </c>
      <c r="C19" s="2" t="s">
        <v>0</v>
      </c>
      <c r="D19" s="11"/>
      <c r="E19" s="11"/>
      <c r="F19" s="11"/>
      <c r="G19" s="11"/>
      <c r="H19" s="11"/>
      <c r="I19" s="11">
        <v>1.9000000000000001E-4</v>
      </c>
      <c r="J19" s="11">
        <v>1.56E-4</v>
      </c>
      <c r="K19" s="11">
        <v>1.3100000000000001E-4</v>
      </c>
      <c r="L19" s="11">
        <v>1.16E-4</v>
      </c>
      <c r="M19" s="11">
        <v>1.08E-4</v>
      </c>
      <c r="N19" s="11">
        <v>1.07E-4</v>
      </c>
      <c r="O19" s="11">
        <v>1.16E-4</v>
      </c>
      <c r="P19" s="11">
        <v>1.26E-4</v>
      </c>
      <c r="Q19" s="11">
        <v>1.35E-4</v>
      </c>
      <c r="R19" s="11">
        <v>1.46E-4</v>
      </c>
      <c r="S19" s="11">
        <v>1.56E-4</v>
      </c>
      <c r="T19" s="11">
        <v>1.66E-4</v>
      </c>
      <c r="U19" s="11">
        <v>1.7699999999999999E-4</v>
      </c>
      <c r="V19" s="11">
        <v>1.8699999999999999E-4</v>
      </c>
      <c r="W19" s="11">
        <v>1.9900000000000001E-4</v>
      </c>
      <c r="X19" s="11">
        <v>2.1000000000000001E-4</v>
      </c>
      <c r="Y19" s="11">
        <v>2.23E-4</v>
      </c>
      <c r="Z19" s="11">
        <v>2.3599999999999999E-4</v>
      </c>
      <c r="AA19" s="11">
        <v>2.5000000000000001E-4</v>
      </c>
      <c r="AB19" s="11">
        <v>2.6499999999999999E-4</v>
      </c>
      <c r="AC19" s="11">
        <v>2.81E-4</v>
      </c>
      <c r="AD19" s="11">
        <v>2.9799999999999998E-4</v>
      </c>
      <c r="AE19" s="11">
        <v>3.1500000000000001E-4</v>
      </c>
      <c r="AF19" s="11">
        <v>3.3500000000000001E-4</v>
      </c>
      <c r="AG19" s="11">
        <v>3.5599999999999998E-4</v>
      </c>
      <c r="AH19" s="11">
        <v>3.8000000000000002E-4</v>
      </c>
      <c r="AI19" s="11">
        <v>4.0400000000000001E-4</v>
      </c>
      <c r="AJ19" s="11">
        <v>4.3100000000000001E-4</v>
      </c>
      <c r="AK19" s="11">
        <v>4.6000000000000001E-4</v>
      </c>
      <c r="AL19" s="11">
        <v>4.9200000000000003E-4</v>
      </c>
      <c r="AM19" s="11">
        <v>5.2899999999999996E-4</v>
      </c>
      <c r="AN19" s="11">
        <v>5.5800000000000001E-4</v>
      </c>
      <c r="AO19" s="11">
        <v>5.9500000000000004E-4</v>
      </c>
      <c r="AP19" s="11">
        <v>6.3699999999999998E-4</v>
      </c>
      <c r="AQ19" s="11">
        <v>6.8599999999999998E-4</v>
      </c>
      <c r="AR19" s="11">
        <v>7.3899999999999997E-4</v>
      </c>
      <c r="AS19" s="11">
        <v>7.9600000000000005E-4</v>
      </c>
      <c r="AT19" s="11">
        <v>8.61E-4</v>
      </c>
      <c r="AU19" s="11">
        <v>9.3499999999999996E-4</v>
      </c>
      <c r="AV19" s="11">
        <v>1.021E-3</v>
      </c>
      <c r="AW19" s="11">
        <v>1.122E-3</v>
      </c>
      <c r="AX19" s="11">
        <v>1.2409999999999999E-3</v>
      </c>
      <c r="AY19" s="11">
        <v>1.374E-3</v>
      </c>
      <c r="AZ19" s="11">
        <v>1.518E-3</v>
      </c>
      <c r="BA19" s="11">
        <v>1.6720000000000001E-3</v>
      </c>
      <c r="BB19" s="11">
        <v>1.83E-3</v>
      </c>
      <c r="BC19" s="11">
        <v>1.9919999999999998E-3</v>
      </c>
      <c r="BD19" s="11">
        <v>2.1649999999999998E-3</v>
      </c>
      <c r="BE19" s="11">
        <v>2.3549999999999999E-3</v>
      </c>
      <c r="BF19" s="11">
        <v>2.5720000000000001E-3</v>
      </c>
      <c r="BG19" s="11">
        <v>2.823E-3</v>
      </c>
      <c r="BH19" s="11">
        <v>3.114E-3</v>
      </c>
      <c r="BI19" s="11">
        <v>3.4480000000000001E-3</v>
      </c>
      <c r="BJ19" s="11">
        <v>3.8249999999999998E-3</v>
      </c>
      <c r="BK19" s="11">
        <v>4.2459999999999998E-3</v>
      </c>
      <c r="BL19" s="11">
        <v>4.712E-3</v>
      </c>
      <c r="BM19" s="11">
        <v>5.2249999999999996E-3</v>
      </c>
      <c r="BN19" s="11">
        <v>5.7889999999999999E-3</v>
      </c>
      <c r="BO19" s="11">
        <v>6.4099999999999999E-3</v>
      </c>
      <c r="BP19" s="11">
        <v>7.0949999999999997E-3</v>
      </c>
      <c r="BQ19" s="11">
        <v>7.8490000000000001E-3</v>
      </c>
      <c r="BR19" s="11">
        <v>8.6859999999999993E-3</v>
      </c>
      <c r="BS19" s="11">
        <v>9.6460000000000001E-3</v>
      </c>
      <c r="BT19" s="11">
        <v>1.078E-2</v>
      </c>
      <c r="BU19" s="11">
        <v>1.2135E-2</v>
      </c>
      <c r="BV19" s="11">
        <v>1.3761000000000001E-2</v>
      </c>
      <c r="BW19" s="11">
        <v>1.5698E-2</v>
      </c>
      <c r="BX19" s="11">
        <v>1.7954999999999999E-2</v>
      </c>
      <c r="BY19" s="11">
        <v>2.0534E-2</v>
      </c>
      <c r="BZ19" s="11">
        <v>2.3435000000000001E-2</v>
      </c>
      <c r="CA19" s="11">
        <v>2.6658000000000001E-2</v>
      </c>
      <c r="CB19" s="11">
        <v>3.0204999999999999E-2</v>
      </c>
      <c r="CC19" s="11">
        <v>3.4079999999999999E-2</v>
      </c>
      <c r="CD19" s="11">
        <v>3.8288000000000003E-2</v>
      </c>
      <c r="CE19" s="11">
        <v>4.2832000000000002E-2</v>
      </c>
      <c r="CF19" s="11">
        <v>4.7717000000000002E-2</v>
      </c>
      <c r="CG19" s="11">
        <v>5.2949999999999997E-2</v>
      </c>
      <c r="CH19" s="11">
        <v>5.8546000000000001E-2</v>
      </c>
      <c r="CI19" s="11">
        <v>6.4522999999999997E-2</v>
      </c>
      <c r="CJ19" s="11">
        <v>7.0897000000000002E-2</v>
      </c>
      <c r="CK19" s="11">
        <v>7.7687000000000006E-2</v>
      </c>
      <c r="CL19" s="11">
        <v>8.5078000000000001E-2</v>
      </c>
      <c r="CM19" s="11">
        <v>9.3188999999999994E-2</v>
      </c>
      <c r="CN19" s="11">
        <v>0.10215</v>
      </c>
      <c r="CO19" s="11">
        <v>0.11261599999999999</v>
      </c>
      <c r="CP19" s="11">
        <v>0.124167</v>
      </c>
      <c r="CQ19" s="11">
        <v>0.13675100000000001</v>
      </c>
      <c r="CR19" s="11">
        <v>0.1507</v>
      </c>
      <c r="CS19" s="11">
        <v>0.16619700000000001</v>
      </c>
      <c r="CT19" s="11">
        <v>0.183448</v>
      </c>
      <c r="CU19" s="11">
        <v>0.20268800000000001</v>
      </c>
      <c r="CV19" s="11">
        <v>0.22417400000000001</v>
      </c>
      <c r="CW19" s="11">
        <v>0.24671499999999999</v>
      </c>
      <c r="CX19" s="11">
        <v>0.27099899999999999</v>
      </c>
      <c r="CY19" s="11">
        <v>0.297983</v>
      </c>
      <c r="CZ19" s="11">
        <v>0.327986</v>
      </c>
      <c r="DA19" s="11">
        <v>0.36136099999999999</v>
      </c>
      <c r="DB19" s="11">
        <v>0.39877400000000002</v>
      </c>
      <c r="DC19" s="11">
        <v>0.43982500000000002</v>
      </c>
      <c r="DD19" s="11">
        <v>0.48706700000000003</v>
      </c>
      <c r="DE19" s="11">
        <v>0.542018</v>
      </c>
      <c r="DF19" s="11">
        <v>0.60653999999999997</v>
      </c>
      <c r="DG19" s="11">
        <v>0.68256600000000001</v>
      </c>
      <c r="DH19" s="11">
        <v>0.77209399999999995</v>
      </c>
      <c r="DI19" s="11">
        <v>0.877193</v>
      </c>
      <c r="DJ19" s="11">
        <v>1</v>
      </c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</row>
    <row r="20" spans="1:130">
      <c r="A20" s="2" t="s">
        <v>204</v>
      </c>
      <c r="B20" s="4" t="s">
        <v>198</v>
      </c>
      <c r="C20" s="2" t="s">
        <v>0</v>
      </c>
      <c r="D20" s="11">
        <v>1.835E-3</v>
      </c>
      <c r="E20" s="11">
        <v>7.7800000000000005E-4</v>
      </c>
      <c r="F20" s="11">
        <v>4.0200000000000001E-4</v>
      </c>
      <c r="G20" s="11">
        <v>2.9799999999999998E-4</v>
      </c>
      <c r="H20" s="11">
        <v>2.4000000000000001E-4</v>
      </c>
      <c r="I20" s="11">
        <v>1.94E-4</v>
      </c>
      <c r="J20" s="11">
        <v>1.6000000000000001E-4</v>
      </c>
      <c r="K20" s="11">
        <v>1.34E-4</v>
      </c>
      <c r="L20" s="11">
        <v>1.34E-4</v>
      </c>
      <c r="M20" s="11">
        <v>1.36E-4</v>
      </c>
      <c r="N20" s="11">
        <v>1.4100000000000001E-4</v>
      </c>
      <c r="O20" s="11">
        <v>1.47E-4</v>
      </c>
      <c r="P20" s="11">
        <v>1.55E-4</v>
      </c>
      <c r="Q20" s="11">
        <v>1.65E-4</v>
      </c>
      <c r="R20" s="11">
        <v>1.75E-4</v>
      </c>
      <c r="S20" s="11">
        <v>1.8799999999999999E-4</v>
      </c>
      <c r="T20" s="11">
        <v>2.0100000000000001E-4</v>
      </c>
      <c r="U20" s="11">
        <v>2.14E-4</v>
      </c>
      <c r="V20" s="11">
        <v>2.2900000000000001E-4</v>
      </c>
      <c r="W20" s="11">
        <v>2.4399999999999999E-4</v>
      </c>
      <c r="X20" s="11">
        <v>2.5999999999999998E-4</v>
      </c>
      <c r="Y20" s="11">
        <v>2.7599999999999999E-4</v>
      </c>
      <c r="Z20" s="11">
        <v>2.9300000000000002E-4</v>
      </c>
      <c r="AA20" s="11">
        <v>3.1100000000000002E-4</v>
      </c>
      <c r="AB20" s="11">
        <v>3.3E-4</v>
      </c>
      <c r="AC20" s="11">
        <v>3.4900000000000003E-4</v>
      </c>
      <c r="AD20" s="11">
        <v>3.68E-4</v>
      </c>
      <c r="AE20" s="11">
        <v>3.8699999999999997E-4</v>
      </c>
      <c r="AF20" s="11">
        <v>4.0499999999999998E-4</v>
      </c>
      <c r="AG20" s="11">
        <v>4.2299999999999998E-4</v>
      </c>
      <c r="AH20" s="11">
        <v>4.4099999999999999E-4</v>
      </c>
      <c r="AI20" s="11">
        <v>4.6000000000000001E-4</v>
      </c>
      <c r="AJ20" s="11">
        <v>4.7899999999999999E-4</v>
      </c>
      <c r="AK20" s="11">
        <v>4.9899999999999999E-4</v>
      </c>
      <c r="AL20" s="11">
        <v>5.2099999999999998E-4</v>
      </c>
      <c r="AM20" s="11">
        <v>5.4500000000000002E-4</v>
      </c>
      <c r="AN20" s="11">
        <v>5.7399999999999997E-4</v>
      </c>
      <c r="AO20" s="11">
        <v>6.0700000000000001E-4</v>
      </c>
      <c r="AP20" s="11">
        <v>6.4599999999999998E-4</v>
      </c>
      <c r="AQ20" s="11">
        <v>6.9099999999999999E-4</v>
      </c>
      <c r="AR20" s="11">
        <v>7.4200000000000004E-4</v>
      </c>
      <c r="AS20" s="11">
        <v>8.0099999999999995E-4</v>
      </c>
      <c r="AT20" s="11">
        <v>8.6700000000000004E-4</v>
      </c>
      <c r="AU20" s="11">
        <v>9.4200000000000002E-4</v>
      </c>
      <c r="AV20" s="11">
        <v>1.026E-3</v>
      </c>
      <c r="AW20" s="11">
        <v>1.122E-3</v>
      </c>
      <c r="AX20" s="11">
        <v>1.2310000000000001E-3</v>
      </c>
      <c r="AY20" s="11">
        <v>1.356E-3</v>
      </c>
      <c r="AZ20" s="11">
        <v>1.4989999999999999E-3</v>
      </c>
      <c r="BA20" s="11">
        <v>1.6570000000000001E-3</v>
      </c>
      <c r="BB20" s="11">
        <v>1.83E-3</v>
      </c>
      <c r="BC20" s="11">
        <v>2.016E-3</v>
      </c>
      <c r="BD20" s="11">
        <v>2.215E-3</v>
      </c>
      <c r="BE20" s="11">
        <v>2.4260000000000002E-3</v>
      </c>
      <c r="BF20" s="11">
        <v>2.65E-3</v>
      </c>
      <c r="BG20" s="11">
        <v>2.8909999999999999E-3</v>
      </c>
      <c r="BH20" s="11">
        <v>3.1510000000000002E-3</v>
      </c>
      <c r="BI20" s="11">
        <v>3.4320000000000002E-3</v>
      </c>
      <c r="BJ20" s="11">
        <v>3.7390000000000001E-3</v>
      </c>
      <c r="BK20" s="11">
        <v>4.0810000000000004E-3</v>
      </c>
      <c r="BL20" s="11">
        <v>4.4669999999999996E-3</v>
      </c>
      <c r="BM20" s="11">
        <v>4.908E-3</v>
      </c>
      <c r="BN20" s="11">
        <v>5.4130000000000003E-3</v>
      </c>
      <c r="BO20" s="11">
        <v>5.9899999999999997E-3</v>
      </c>
      <c r="BP20" s="11">
        <v>6.633E-3</v>
      </c>
      <c r="BQ20" s="11">
        <v>7.3359999999999996E-3</v>
      </c>
      <c r="BR20" s="11">
        <v>8.09E-3</v>
      </c>
      <c r="BS20" s="11">
        <v>8.8880000000000001E-3</v>
      </c>
      <c r="BT20" s="11">
        <v>9.7310000000000001E-3</v>
      </c>
      <c r="BU20" s="11">
        <v>1.0652999999999999E-2</v>
      </c>
      <c r="BV20" s="11">
        <v>1.1697000000000001E-2</v>
      </c>
      <c r="BW20" s="11">
        <v>1.2905E-2</v>
      </c>
      <c r="BX20" s="11">
        <v>1.4319E-2</v>
      </c>
      <c r="BY20" s="11">
        <v>1.5980000000000001E-2</v>
      </c>
      <c r="BZ20" s="11">
        <v>1.7909000000000001E-2</v>
      </c>
      <c r="CA20" s="11">
        <v>2.0126999999999999E-2</v>
      </c>
      <c r="CB20" s="11">
        <v>2.2654000000000001E-2</v>
      </c>
      <c r="CC20" s="11">
        <v>2.5509E-2</v>
      </c>
      <c r="CD20" s="11">
        <v>2.8716999999999999E-2</v>
      </c>
      <c r="CE20" s="11">
        <v>3.2328000000000003E-2</v>
      </c>
      <c r="CF20" s="11">
        <v>3.6394999999999997E-2</v>
      </c>
      <c r="CG20" s="11">
        <v>4.0974999999999998E-2</v>
      </c>
      <c r="CH20" s="11">
        <v>4.6121000000000002E-2</v>
      </c>
      <c r="CI20" s="11">
        <v>5.1888999999999998E-2</v>
      </c>
      <c r="CJ20" s="11">
        <v>5.8335999999999999E-2</v>
      </c>
      <c r="CK20" s="11">
        <v>6.5518000000000007E-2</v>
      </c>
      <c r="CL20" s="11">
        <v>7.3493000000000003E-2</v>
      </c>
      <c r="CM20" s="11">
        <v>8.2318000000000002E-2</v>
      </c>
      <c r="CN20" s="11">
        <v>9.2017000000000002E-2</v>
      </c>
      <c r="CO20" s="11">
        <v>0.102491</v>
      </c>
      <c r="CP20" s="11">
        <v>0.113605</v>
      </c>
      <c r="CQ20" s="11">
        <v>0.125227</v>
      </c>
      <c r="CR20" s="11">
        <v>0.13722200000000001</v>
      </c>
      <c r="CS20" s="11">
        <v>0.14946200000000001</v>
      </c>
      <c r="CT20" s="11">
        <v>0.16183400000000001</v>
      </c>
      <c r="CU20" s="11">
        <v>0.17422799999999999</v>
      </c>
      <c r="CV20" s="11">
        <v>0.18653500000000001</v>
      </c>
      <c r="CW20" s="11">
        <v>0.19864599999999999</v>
      </c>
      <c r="CX20" s="11">
        <v>0.21110200000000001</v>
      </c>
      <c r="CY20" s="11">
        <v>0.22444500000000001</v>
      </c>
      <c r="CZ20" s="11">
        <v>0.23921500000000001</v>
      </c>
      <c r="DA20" s="11">
        <v>0.25595299999999999</v>
      </c>
      <c r="DB20" s="11">
        <v>0.27520099999999997</v>
      </c>
      <c r="DC20" s="11">
        <v>0.29749999999999999</v>
      </c>
      <c r="DD20" s="11">
        <v>0.32339000000000001</v>
      </c>
      <c r="DE20" s="11">
        <v>0.35341400000000001</v>
      </c>
      <c r="DF20" s="11">
        <v>0.38811099999999998</v>
      </c>
      <c r="DG20" s="11">
        <v>0.42802299999999999</v>
      </c>
      <c r="DH20" s="11">
        <v>0.473692</v>
      </c>
      <c r="DI20" s="11">
        <v>0.52565799999999996</v>
      </c>
      <c r="DJ20" s="11">
        <v>0.58446200000000004</v>
      </c>
      <c r="DK20" s="11">
        <v>0.65064599999999995</v>
      </c>
      <c r="DL20" s="11">
        <v>0.72475000000000001</v>
      </c>
      <c r="DM20" s="11">
        <v>0.80731600000000003</v>
      </c>
      <c r="DN20" s="11">
        <v>0.89888500000000005</v>
      </c>
      <c r="DO20" s="11">
        <v>1</v>
      </c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</row>
    <row r="21" spans="1:130">
      <c r="A21" s="2" t="s">
        <v>204</v>
      </c>
      <c r="B21" s="4" t="s">
        <v>199</v>
      </c>
      <c r="C21" s="2" t="s">
        <v>0</v>
      </c>
      <c r="D21" s="11"/>
      <c r="E21" s="11"/>
      <c r="F21" s="11"/>
      <c r="G21" s="11"/>
      <c r="H21" s="11"/>
      <c r="I21" s="11">
        <v>3.8000000000000002E-4</v>
      </c>
      <c r="J21" s="11">
        <v>3.5300000000000002E-4</v>
      </c>
      <c r="K21" s="11">
        <v>3.3599999999999998E-4</v>
      </c>
      <c r="L21" s="11">
        <v>3.2699999999999998E-4</v>
      </c>
      <c r="M21" s="11">
        <v>3.2400000000000001E-4</v>
      </c>
      <c r="N21" s="11">
        <v>3.2499999999999999E-4</v>
      </c>
      <c r="O21" s="11">
        <v>3.3100000000000002E-4</v>
      </c>
      <c r="P21" s="11">
        <v>3.3799999999999998E-4</v>
      </c>
      <c r="Q21" s="11">
        <v>3.4400000000000001E-4</v>
      </c>
      <c r="R21" s="11">
        <v>3.5199999999999999E-4</v>
      </c>
      <c r="S21" s="11">
        <v>3.6099999999999999E-4</v>
      </c>
      <c r="T21" s="11">
        <v>3.6999999999999999E-4</v>
      </c>
      <c r="U21" s="11">
        <v>3.8099999999999999E-4</v>
      </c>
      <c r="V21" s="11">
        <v>3.9199999999999999E-4</v>
      </c>
      <c r="W21" s="11">
        <v>4.0499999999999998E-4</v>
      </c>
      <c r="X21" s="11">
        <v>4.1899999999999999E-4</v>
      </c>
      <c r="Y21" s="11">
        <v>4.35E-4</v>
      </c>
      <c r="Z21" s="11">
        <v>4.5300000000000001E-4</v>
      </c>
      <c r="AA21" s="11">
        <v>4.7100000000000001E-4</v>
      </c>
      <c r="AB21" s="11">
        <v>4.9299999999999995E-4</v>
      </c>
      <c r="AC21" s="11">
        <v>5.1500000000000005E-4</v>
      </c>
      <c r="AD21" s="11">
        <v>5.4199999999999995E-4</v>
      </c>
      <c r="AE21" s="11">
        <v>5.6999999999999998E-4</v>
      </c>
      <c r="AF21" s="11">
        <v>6.02E-4</v>
      </c>
      <c r="AG21" s="11">
        <v>6.3599999999999996E-4</v>
      </c>
      <c r="AH21" s="11">
        <v>6.7400000000000001E-4</v>
      </c>
      <c r="AI21" s="11">
        <v>7.1699999999999997E-4</v>
      </c>
      <c r="AJ21" s="11">
        <v>7.6300000000000001E-4</v>
      </c>
      <c r="AK21" s="11">
        <v>8.1499999999999997E-4</v>
      </c>
      <c r="AL21" s="11">
        <v>8.7200000000000005E-4</v>
      </c>
      <c r="AM21" s="11">
        <v>9.5500000000000001E-4</v>
      </c>
      <c r="AN21" s="11">
        <v>1.008E-3</v>
      </c>
      <c r="AO21" s="11">
        <v>1.073E-3</v>
      </c>
      <c r="AP21" s="11">
        <v>1.1540000000000001E-3</v>
      </c>
      <c r="AQ21" s="11">
        <v>1.253E-3</v>
      </c>
      <c r="AR21" s="11">
        <v>1.3749999999999999E-3</v>
      </c>
      <c r="AS21" s="11">
        <v>1.5219999999999999E-3</v>
      </c>
      <c r="AT21" s="11">
        <v>1.6969999999999999E-3</v>
      </c>
      <c r="AU21" s="11">
        <v>1.905E-3</v>
      </c>
      <c r="AV21" s="11">
        <v>2.147E-3</v>
      </c>
      <c r="AW21" s="11">
        <v>2.4260000000000002E-3</v>
      </c>
      <c r="AX21" s="11">
        <v>2.745E-3</v>
      </c>
      <c r="AY21" s="11">
        <v>3.0999999999999999E-3</v>
      </c>
      <c r="AZ21" s="11">
        <v>3.4870000000000001E-3</v>
      </c>
      <c r="BA21" s="11">
        <v>3.9029999999999998E-3</v>
      </c>
      <c r="BB21" s="11">
        <v>4.3429999999999996E-3</v>
      </c>
      <c r="BC21" s="11">
        <v>4.8040000000000001E-3</v>
      </c>
      <c r="BD21" s="11">
        <v>5.2830000000000004E-3</v>
      </c>
      <c r="BE21" s="11">
        <v>5.7780000000000001E-3</v>
      </c>
      <c r="BF21" s="11">
        <v>6.2890000000000003E-3</v>
      </c>
      <c r="BG21" s="11">
        <v>6.8120000000000003E-3</v>
      </c>
      <c r="BH21" s="11">
        <v>7.3530000000000002E-3</v>
      </c>
      <c r="BI21" s="11">
        <v>7.9319999999999998E-3</v>
      </c>
      <c r="BJ21" s="11">
        <v>8.5769999999999996E-3</v>
      </c>
      <c r="BK21" s="11">
        <v>9.3150000000000004E-3</v>
      </c>
      <c r="BL21" s="11">
        <v>1.0175E-2</v>
      </c>
      <c r="BM21" s="11">
        <v>1.1181999999999999E-2</v>
      </c>
      <c r="BN21" s="11">
        <v>1.2370000000000001E-2</v>
      </c>
      <c r="BO21" s="11">
        <v>1.3768000000000001E-2</v>
      </c>
      <c r="BP21" s="11">
        <v>1.5409000000000001E-2</v>
      </c>
      <c r="BQ21" s="11">
        <v>1.7323999999999999E-2</v>
      </c>
      <c r="BR21" s="11">
        <v>1.9532000000000001E-2</v>
      </c>
      <c r="BS21" s="11">
        <v>2.2003999999999999E-2</v>
      </c>
      <c r="BT21" s="11">
        <v>2.4698999999999999E-2</v>
      </c>
      <c r="BU21" s="11">
        <v>2.7574000000000001E-2</v>
      </c>
      <c r="BV21" s="11">
        <v>3.0589000000000002E-2</v>
      </c>
      <c r="BW21" s="11">
        <v>3.3727E-2</v>
      </c>
      <c r="BX21" s="11">
        <v>3.7078E-2</v>
      </c>
      <c r="BY21" s="11">
        <v>4.0756000000000001E-2</v>
      </c>
      <c r="BZ21" s="11">
        <v>4.4875999999999999E-2</v>
      </c>
      <c r="CA21" s="11">
        <v>4.9551999999999999E-2</v>
      </c>
      <c r="CB21" s="11">
        <v>5.4876000000000001E-2</v>
      </c>
      <c r="CC21" s="11">
        <v>6.0842E-2</v>
      </c>
      <c r="CD21" s="11">
        <v>6.7419999999999994E-2</v>
      </c>
      <c r="CE21" s="11">
        <v>7.4582999999999997E-2</v>
      </c>
      <c r="CF21" s="11">
        <v>8.2299999999999998E-2</v>
      </c>
      <c r="CG21" s="11">
        <v>9.0537999999999993E-2</v>
      </c>
      <c r="CH21" s="11">
        <v>9.9243999999999999E-2</v>
      </c>
      <c r="CI21" s="11">
        <v>0.108361</v>
      </c>
      <c r="CJ21" s="11">
        <v>0.11783</v>
      </c>
      <c r="CK21" s="11">
        <v>0.12759499999999999</v>
      </c>
      <c r="CL21" s="11">
        <v>0.13796700000000001</v>
      </c>
      <c r="CM21" s="11">
        <v>0.14874399999999999</v>
      </c>
      <c r="CN21" s="11">
        <v>0.160081</v>
      </c>
      <c r="CO21" s="11">
        <v>0.172066</v>
      </c>
      <c r="CP21" s="11">
        <v>0.184785</v>
      </c>
      <c r="CQ21" s="11">
        <v>0.198016</v>
      </c>
      <c r="CR21" s="11">
        <v>0.211622</v>
      </c>
      <c r="CS21" s="11">
        <v>0.22556300000000001</v>
      </c>
      <c r="CT21" s="11">
        <v>0.242116</v>
      </c>
      <c r="CU21" s="11">
        <v>0.26009599999999999</v>
      </c>
      <c r="CV21" s="11">
        <v>0.27604000000000001</v>
      </c>
      <c r="CW21" s="11">
        <v>0.29328199999999999</v>
      </c>
      <c r="CX21" s="11">
        <v>0.31200299999999997</v>
      </c>
      <c r="CY21" s="11">
        <v>0.33239299999999999</v>
      </c>
      <c r="CZ21" s="11">
        <v>0.35465000000000002</v>
      </c>
      <c r="DA21" s="11">
        <v>0.37898399999999999</v>
      </c>
      <c r="DB21" s="11">
        <v>0.405613</v>
      </c>
      <c r="DC21" s="11">
        <v>0.43678</v>
      </c>
      <c r="DD21" s="11">
        <v>0.47472799999999998</v>
      </c>
      <c r="DE21" s="11">
        <v>0.52170099999999997</v>
      </c>
      <c r="DF21" s="11">
        <v>0.57993899999999998</v>
      </c>
      <c r="DG21" s="11">
        <v>0.65168700000000002</v>
      </c>
      <c r="DH21" s="11">
        <v>0.73918700000000004</v>
      </c>
      <c r="DI21" s="11">
        <v>0.84468299999999996</v>
      </c>
      <c r="DJ21" s="11">
        <v>1</v>
      </c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</row>
    <row r="22" spans="1:130">
      <c r="A22" s="2" t="s">
        <v>204</v>
      </c>
      <c r="B22" s="4" t="s">
        <v>200</v>
      </c>
      <c r="C22" s="2" t="s">
        <v>0</v>
      </c>
      <c r="D22" s="11">
        <v>2.6900000000000001E-3</v>
      </c>
      <c r="E22" s="11">
        <v>1.0529999999999999E-3</v>
      </c>
      <c r="F22" s="11">
        <v>5.9100000000000005E-4</v>
      </c>
      <c r="G22" s="11">
        <v>4.7600000000000002E-4</v>
      </c>
      <c r="H22" s="11">
        <v>4.17E-4</v>
      </c>
      <c r="I22" s="11">
        <v>3.77E-4</v>
      </c>
      <c r="J22" s="11">
        <v>3.5E-4</v>
      </c>
      <c r="K22" s="11">
        <v>3.3300000000000002E-4</v>
      </c>
      <c r="L22" s="11">
        <v>3.5199999999999999E-4</v>
      </c>
      <c r="M22" s="11">
        <v>3.68E-4</v>
      </c>
      <c r="N22" s="11">
        <v>3.8200000000000002E-4</v>
      </c>
      <c r="O22" s="11">
        <v>3.9399999999999998E-4</v>
      </c>
      <c r="P22" s="11">
        <v>4.0499999999999998E-4</v>
      </c>
      <c r="Q22" s="11">
        <v>4.15E-4</v>
      </c>
      <c r="R22" s="11">
        <v>4.2499999999999998E-4</v>
      </c>
      <c r="S22" s="11">
        <v>4.35E-4</v>
      </c>
      <c r="T22" s="11">
        <v>4.46E-4</v>
      </c>
      <c r="U22" s="11">
        <v>4.5800000000000002E-4</v>
      </c>
      <c r="V22" s="11">
        <v>4.7199999999999998E-4</v>
      </c>
      <c r="W22" s="11">
        <v>4.8799999999999999E-4</v>
      </c>
      <c r="X22" s="11">
        <v>5.0500000000000002E-4</v>
      </c>
      <c r="Y22" s="11">
        <v>5.2499999999999997E-4</v>
      </c>
      <c r="Z22" s="11">
        <v>5.4600000000000004E-4</v>
      </c>
      <c r="AA22" s="11">
        <v>5.6999999999999998E-4</v>
      </c>
      <c r="AB22" s="11">
        <v>5.9599999999999996E-4</v>
      </c>
      <c r="AC22" s="11">
        <v>6.2200000000000005E-4</v>
      </c>
      <c r="AD22" s="11">
        <v>6.4999999999999997E-4</v>
      </c>
      <c r="AE22" s="11">
        <v>6.7699999999999998E-4</v>
      </c>
      <c r="AF22" s="11">
        <v>7.0399999999999998E-4</v>
      </c>
      <c r="AG22" s="11">
        <v>7.3099999999999999E-4</v>
      </c>
      <c r="AH22" s="11">
        <v>7.5900000000000002E-4</v>
      </c>
      <c r="AI22" s="11">
        <v>7.8600000000000002E-4</v>
      </c>
      <c r="AJ22" s="11">
        <v>8.1400000000000005E-4</v>
      </c>
      <c r="AK22" s="11">
        <v>8.43E-4</v>
      </c>
      <c r="AL22" s="11">
        <v>8.7600000000000004E-4</v>
      </c>
      <c r="AM22" s="11">
        <v>9.1699999999999995E-4</v>
      </c>
      <c r="AN22" s="11">
        <v>9.68E-4</v>
      </c>
      <c r="AO22" s="11">
        <v>1.0319999999999999E-3</v>
      </c>
      <c r="AP22" s="11">
        <v>1.114E-3</v>
      </c>
      <c r="AQ22" s="11">
        <v>1.2160000000000001E-3</v>
      </c>
      <c r="AR22" s="11">
        <v>1.341E-3</v>
      </c>
      <c r="AS22" s="11">
        <v>1.4920000000000001E-3</v>
      </c>
      <c r="AT22" s="11">
        <v>1.673E-3</v>
      </c>
      <c r="AU22" s="11">
        <v>1.8860000000000001E-3</v>
      </c>
      <c r="AV22" s="11">
        <v>2.1289999999999998E-3</v>
      </c>
      <c r="AW22" s="11">
        <v>2.3990000000000001E-3</v>
      </c>
      <c r="AX22" s="11">
        <v>2.6930000000000001E-3</v>
      </c>
      <c r="AY22" s="11">
        <v>3.009E-3</v>
      </c>
      <c r="AZ22" s="11">
        <v>3.3430000000000001E-3</v>
      </c>
      <c r="BA22" s="11">
        <v>3.6939999999999998E-3</v>
      </c>
      <c r="BB22" s="11">
        <v>4.0569999999999998E-3</v>
      </c>
      <c r="BC22" s="11">
        <v>4.431E-3</v>
      </c>
      <c r="BD22" s="11">
        <v>4.8120000000000003E-3</v>
      </c>
      <c r="BE22" s="11">
        <v>5.1980000000000004E-3</v>
      </c>
      <c r="BF22" s="11">
        <v>5.5909999999999996E-3</v>
      </c>
      <c r="BG22" s="11">
        <v>5.9940000000000002E-3</v>
      </c>
      <c r="BH22" s="11">
        <v>6.4089999999999998E-3</v>
      </c>
      <c r="BI22" s="11">
        <v>6.8389999999999996E-3</v>
      </c>
      <c r="BJ22" s="11">
        <v>7.2899999999999996E-3</v>
      </c>
      <c r="BK22" s="11">
        <v>7.7819999999999999E-3</v>
      </c>
      <c r="BL22" s="11">
        <v>8.3379999999999999E-3</v>
      </c>
      <c r="BM22" s="11">
        <v>8.9829999999999997E-3</v>
      </c>
      <c r="BN22" s="11">
        <v>9.7400000000000004E-3</v>
      </c>
      <c r="BO22" s="11">
        <v>1.0630000000000001E-2</v>
      </c>
      <c r="BP22" s="11">
        <v>1.1664000000000001E-2</v>
      </c>
      <c r="BQ22" s="11">
        <v>1.2851E-2</v>
      </c>
      <c r="BR22" s="11">
        <v>1.4199E-2</v>
      </c>
      <c r="BS22" s="11">
        <v>1.5716999999999998E-2</v>
      </c>
      <c r="BT22" s="11">
        <v>1.7413999999999999E-2</v>
      </c>
      <c r="BU22" s="11">
        <v>1.9296000000000001E-2</v>
      </c>
      <c r="BV22" s="11">
        <v>2.1371000000000001E-2</v>
      </c>
      <c r="BW22" s="11">
        <v>2.3647000000000001E-2</v>
      </c>
      <c r="BX22" s="11">
        <v>2.6131000000000001E-2</v>
      </c>
      <c r="BY22" s="11">
        <v>2.8835E-2</v>
      </c>
      <c r="BZ22" s="11">
        <v>3.1794000000000003E-2</v>
      </c>
      <c r="CA22" s="11">
        <v>3.5046000000000001E-2</v>
      </c>
      <c r="CB22" s="11">
        <v>3.8630999999999999E-2</v>
      </c>
      <c r="CC22" s="11">
        <v>4.2587E-2</v>
      </c>
      <c r="CD22" s="11">
        <v>4.6951E-2</v>
      </c>
      <c r="CE22" s="11">
        <v>5.1755000000000002E-2</v>
      </c>
      <c r="CF22" s="11">
        <v>5.7026E-2</v>
      </c>
      <c r="CG22" s="11">
        <v>6.2791E-2</v>
      </c>
      <c r="CH22" s="11">
        <v>6.9081000000000004E-2</v>
      </c>
      <c r="CI22" s="11">
        <v>7.5908000000000003E-2</v>
      </c>
      <c r="CJ22" s="11">
        <v>8.3229999999999998E-2</v>
      </c>
      <c r="CK22" s="11">
        <v>9.0986999999999998E-2</v>
      </c>
      <c r="CL22" s="11">
        <v>9.9122000000000002E-2</v>
      </c>
      <c r="CM22" s="11">
        <v>0.10757700000000001</v>
      </c>
      <c r="CN22" s="11">
        <v>0.116316</v>
      </c>
      <c r="CO22" s="11">
        <v>0.12539400000000001</v>
      </c>
      <c r="CP22" s="11">
        <v>0.13488700000000001</v>
      </c>
      <c r="CQ22" s="11">
        <v>0.144873</v>
      </c>
      <c r="CR22" s="11">
        <v>0.15542900000000001</v>
      </c>
      <c r="CS22" s="11">
        <v>0.166629</v>
      </c>
      <c r="CT22" s="11">
        <v>0.178537</v>
      </c>
      <c r="CU22" s="11">
        <v>0.191214</v>
      </c>
      <c r="CV22" s="11">
        <v>0.20472099999999999</v>
      </c>
      <c r="CW22" s="11">
        <v>0.21912000000000001</v>
      </c>
      <c r="CX22" s="11">
        <v>0.234735</v>
      </c>
      <c r="CY22" s="11">
        <v>0.25188899999999997</v>
      </c>
      <c r="CZ22" s="11">
        <v>0.27090599999999998</v>
      </c>
      <c r="DA22" s="11">
        <v>0.29211100000000001</v>
      </c>
      <c r="DB22" s="11">
        <v>0.315826</v>
      </c>
      <c r="DC22" s="11">
        <v>0.34237699999999999</v>
      </c>
      <c r="DD22" s="11">
        <v>0.37208599999999997</v>
      </c>
      <c r="DE22" s="11">
        <v>0.40527800000000003</v>
      </c>
      <c r="DF22" s="11">
        <v>0.44227699999999998</v>
      </c>
      <c r="DG22" s="11">
        <v>0.483406</v>
      </c>
      <c r="DH22" s="11">
        <v>0.52898900000000004</v>
      </c>
      <c r="DI22" s="11">
        <v>0.57935099999999995</v>
      </c>
      <c r="DJ22" s="11">
        <v>0.63481399999999999</v>
      </c>
      <c r="DK22" s="11">
        <v>0.69570399999999999</v>
      </c>
      <c r="DL22" s="11">
        <v>0.76234299999999999</v>
      </c>
      <c r="DM22" s="11">
        <v>0.83505600000000002</v>
      </c>
      <c r="DN22" s="11">
        <v>0.91416699999999995</v>
      </c>
      <c r="DO22" s="11">
        <v>1</v>
      </c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</row>
    <row r="23" spans="1:130">
      <c r="A23" s="2" t="s">
        <v>204</v>
      </c>
      <c r="B23" s="4" t="s">
        <v>11</v>
      </c>
      <c r="C23" s="2"/>
      <c r="D23" s="12">
        <v>1.2800000000000001E-3</v>
      </c>
      <c r="E23" s="12">
        <v>4.6000000000000001E-4</v>
      </c>
      <c r="F23" s="12">
        <v>2.5000000000000001E-4</v>
      </c>
      <c r="G23" s="12">
        <v>1.6000000000000001E-4</v>
      </c>
      <c r="H23" s="12">
        <v>1.2E-4</v>
      </c>
      <c r="I23" s="12">
        <v>1E-4</v>
      </c>
      <c r="J23" s="12">
        <v>9.0000000000000006E-5</v>
      </c>
      <c r="K23" s="12">
        <v>9.0000000000000006E-5</v>
      </c>
      <c r="L23" s="12">
        <v>9.0000000000000006E-5</v>
      </c>
      <c r="M23" s="12">
        <v>1.1E-4</v>
      </c>
      <c r="N23" s="12">
        <v>1.3999999999999999E-4</v>
      </c>
      <c r="O23" s="12">
        <v>1.8000000000000001E-4</v>
      </c>
      <c r="P23" s="12">
        <v>2.2000000000000001E-4</v>
      </c>
      <c r="Q23" s="12">
        <v>2.5999999999999998E-4</v>
      </c>
      <c r="R23" s="12">
        <v>2.9999999999999997E-4</v>
      </c>
      <c r="S23" s="12">
        <v>3.3E-4</v>
      </c>
      <c r="T23" s="12">
        <v>3.5E-4</v>
      </c>
      <c r="U23" s="12">
        <v>3.6999999999999999E-4</v>
      </c>
      <c r="V23" s="12">
        <v>3.6999999999999999E-4</v>
      </c>
      <c r="W23" s="12">
        <v>3.6999999999999999E-4</v>
      </c>
      <c r="X23" s="12">
        <v>3.6999999999999999E-4</v>
      </c>
      <c r="Y23" s="12">
        <v>3.6000000000000002E-4</v>
      </c>
      <c r="Z23" s="12">
        <v>3.6000000000000002E-4</v>
      </c>
      <c r="AA23" s="12">
        <v>3.5E-4</v>
      </c>
      <c r="AB23" s="12">
        <v>3.5E-4</v>
      </c>
      <c r="AC23" s="12">
        <v>3.5E-4</v>
      </c>
      <c r="AD23" s="12">
        <v>3.6000000000000002E-4</v>
      </c>
      <c r="AE23" s="12">
        <v>3.6999999999999999E-4</v>
      </c>
      <c r="AF23" s="12">
        <v>3.8999999999999999E-4</v>
      </c>
      <c r="AG23" s="12">
        <v>4.0999999999999999E-4</v>
      </c>
      <c r="AH23" s="12">
        <v>4.4000000000000002E-4</v>
      </c>
      <c r="AI23" s="12">
        <v>4.6999999999999999E-4</v>
      </c>
      <c r="AJ23" s="12">
        <v>5.0000000000000001E-4</v>
      </c>
      <c r="AK23" s="12">
        <v>5.4000000000000001E-4</v>
      </c>
      <c r="AL23" s="12">
        <v>5.6999999999999998E-4</v>
      </c>
      <c r="AM23" s="12">
        <v>6.2E-4</v>
      </c>
      <c r="AN23" s="12">
        <v>6.6E-4</v>
      </c>
      <c r="AO23" s="12">
        <v>7.1000000000000002E-4</v>
      </c>
      <c r="AP23" s="12">
        <v>7.6000000000000004E-4</v>
      </c>
      <c r="AQ23" s="12">
        <v>8.1999999999999998E-4</v>
      </c>
      <c r="AR23" s="12">
        <v>8.8000000000000003E-4</v>
      </c>
      <c r="AS23" s="12">
        <v>9.5E-4</v>
      </c>
      <c r="AT23" s="12">
        <v>1.0300000000000001E-3</v>
      </c>
      <c r="AU23" s="12">
        <v>1.1100000000000001E-3</v>
      </c>
      <c r="AV23" s="12">
        <v>1.1999999999999999E-3</v>
      </c>
      <c r="AW23" s="12">
        <v>1.2999999999999999E-3</v>
      </c>
      <c r="AX23" s="12">
        <v>1.4E-3</v>
      </c>
      <c r="AY23" s="12">
        <v>1.5200000000000001E-3</v>
      </c>
      <c r="AZ23" s="12">
        <v>1.64E-3</v>
      </c>
      <c r="BA23" s="12">
        <v>1.7799999999999999E-3</v>
      </c>
      <c r="BB23" s="12">
        <v>1.9300000000000001E-3</v>
      </c>
      <c r="BC23" s="12">
        <v>2.0899999999999998E-3</v>
      </c>
      <c r="BD23" s="12">
        <v>2.2799999999999999E-3</v>
      </c>
      <c r="BE23" s="12">
        <v>2.48E-3</v>
      </c>
      <c r="BF23" s="12">
        <v>2.7000000000000001E-3</v>
      </c>
      <c r="BG23" s="12">
        <v>2.9399999999999999E-3</v>
      </c>
      <c r="BH23" s="12">
        <v>3.2100000000000002E-3</v>
      </c>
      <c r="BI23" s="12">
        <v>3.5100000000000001E-3</v>
      </c>
      <c r="BJ23" s="12">
        <v>3.8400000000000001E-3</v>
      </c>
      <c r="BK23" s="12">
        <v>4.1999999999999997E-3</v>
      </c>
      <c r="BL23" s="12">
        <v>4.5900000000000003E-3</v>
      </c>
      <c r="BM23" s="12">
        <v>5.0099999999999997E-3</v>
      </c>
      <c r="BN23" s="12">
        <v>5.4799999999999996E-3</v>
      </c>
      <c r="BO23" s="12">
        <v>5.9899999999999997E-3</v>
      </c>
      <c r="BP23" s="12">
        <v>6.5399999999999998E-3</v>
      </c>
      <c r="BQ23" s="12">
        <v>7.1399999999999996E-3</v>
      </c>
      <c r="BR23" s="12">
        <v>7.7799999999999996E-3</v>
      </c>
      <c r="BS23" s="12">
        <v>8.5000000000000006E-3</v>
      </c>
      <c r="BT23" s="12">
        <v>9.2700000000000005E-3</v>
      </c>
      <c r="BU23" s="12">
        <v>1.009E-2</v>
      </c>
      <c r="BV23" s="12">
        <v>1.0999999999999999E-2</v>
      </c>
      <c r="BW23" s="12">
        <v>1.2019999999999999E-2</v>
      </c>
      <c r="BX23" s="12">
        <v>1.312E-2</v>
      </c>
      <c r="BY23" s="12">
        <v>1.43E-2</v>
      </c>
      <c r="BZ23" s="12">
        <v>1.558E-2</v>
      </c>
      <c r="CA23" s="12">
        <v>1.6990000000000002E-2</v>
      </c>
      <c r="CB23" s="12">
        <v>1.856E-2</v>
      </c>
      <c r="CC23" s="12">
        <v>2.0299999999999999E-2</v>
      </c>
      <c r="CD23" s="12">
        <v>2.2210000000000001E-2</v>
      </c>
      <c r="CE23" s="12">
        <v>2.4309999999999998E-2</v>
      </c>
      <c r="CF23" s="12">
        <v>2.674E-2</v>
      </c>
      <c r="CG23" s="12">
        <v>2.962E-2</v>
      </c>
      <c r="CH23" s="12">
        <v>3.3070000000000002E-2</v>
      </c>
      <c r="CI23" s="12">
        <v>3.7109999999999997E-2</v>
      </c>
      <c r="CJ23" s="12">
        <v>4.1849999999999998E-2</v>
      </c>
      <c r="CK23" s="12">
        <v>4.7489999999999997E-2</v>
      </c>
      <c r="CL23" s="12">
        <v>5.4129999999999998E-2</v>
      </c>
      <c r="CM23" s="12">
        <v>6.1699999999999998E-2</v>
      </c>
      <c r="CN23" s="12">
        <v>7.0400000000000004E-2</v>
      </c>
      <c r="CO23" s="12">
        <v>8.0960000000000004E-2</v>
      </c>
      <c r="CP23" s="12">
        <v>9.3100000000000002E-2</v>
      </c>
      <c r="CQ23" s="12">
        <v>0.10647</v>
      </c>
      <c r="CR23" s="12">
        <v>0.1211</v>
      </c>
      <c r="CS23" s="12">
        <v>0.13857</v>
      </c>
      <c r="CT23" s="12">
        <v>0.15795000000000001</v>
      </c>
      <c r="CU23" s="12">
        <v>0.17998</v>
      </c>
      <c r="CV23" s="12">
        <v>0.20594000000000001</v>
      </c>
      <c r="CW23" s="12">
        <v>0.23014999999999999</v>
      </c>
      <c r="CX23" s="12">
        <v>0.25194</v>
      </c>
      <c r="CY23" s="12">
        <v>0.27911999999999998</v>
      </c>
      <c r="CZ23" s="12">
        <v>0.31072</v>
      </c>
      <c r="DA23" s="12">
        <v>0.34117999999999998</v>
      </c>
      <c r="DB23" s="12">
        <v>0.37357000000000001</v>
      </c>
      <c r="DC23" s="12">
        <v>0.40904000000000001</v>
      </c>
      <c r="DD23" s="12">
        <v>0.44788</v>
      </c>
      <c r="DE23" s="12">
        <v>0.49042000000000002</v>
      </c>
      <c r="DF23" s="12">
        <v>0.53700000000000003</v>
      </c>
      <c r="DG23" s="12">
        <v>0.58801000000000003</v>
      </c>
      <c r="DH23" s="12">
        <v>0.64387000000000005</v>
      </c>
      <c r="DI23" s="12">
        <v>0.70504999999999995</v>
      </c>
      <c r="DJ23" s="12">
        <v>0.77203999999999995</v>
      </c>
      <c r="DK23" s="12">
        <v>0.84540000000000004</v>
      </c>
      <c r="DL23" s="12">
        <v>0.92574999999999996</v>
      </c>
      <c r="DM23" s="12">
        <v>1</v>
      </c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</row>
    <row r="24" spans="1:130">
      <c r="A24" s="2" t="s">
        <v>204</v>
      </c>
      <c r="B24" s="4" t="s">
        <v>10</v>
      </c>
      <c r="C24" s="2"/>
      <c r="D24" s="12">
        <v>2.7399999999999998E-3</v>
      </c>
      <c r="E24" s="12">
        <v>9.5E-4</v>
      </c>
      <c r="F24" s="12">
        <v>4.8000000000000001E-4</v>
      </c>
      <c r="G24" s="12">
        <v>2.9999999999999997E-4</v>
      </c>
      <c r="H24" s="12">
        <v>2.2000000000000001E-4</v>
      </c>
      <c r="I24" s="12">
        <v>1.8000000000000001E-4</v>
      </c>
      <c r="J24" s="12">
        <v>1.6000000000000001E-4</v>
      </c>
      <c r="K24" s="12">
        <v>1.4999999999999999E-4</v>
      </c>
      <c r="L24" s="12">
        <v>1.4999999999999999E-4</v>
      </c>
      <c r="M24" s="12">
        <v>1.6000000000000001E-4</v>
      </c>
      <c r="N24" s="12">
        <v>1.8000000000000001E-4</v>
      </c>
      <c r="O24" s="12">
        <v>2.1000000000000001E-4</v>
      </c>
      <c r="P24" s="12">
        <v>2.5999999999999998E-4</v>
      </c>
      <c r="Q24" s="12">
        <v>3.3E-4</v>
      </c>
      <c r="R24" s="12">
        <v>4.2000000000000002E-4</v>
      </c>
      <c r="S24" s="12">
        <v>5.2999999999999998E-4</v>
      </c>
      <c r="T24" s="12">
        <v>6.4999999999999997E-4</v>
      </c>
      <c r="U24" s="12">
        <v>7.7999999999999999E-4</v>
      </c>
      <c r="V24" s="12">
        <v>8.9999999999999998E-4</v>
      </c>
      <c r="W24" s="12">
        <v>1.01E-3</v>
      </c>
      <c r="X24" s="12">
        <v>1.1000000000000001E-3</v>
      </c>
      <c r="Y24" s="12">
        <v>1.17E-3</v>
      </c>
      <c r="Z24" s="12">
        <v>1.2199999999999999E-3</v>
      </c>
      <c r="AA24" s="12">
        <v>1.25E-3</v>
      </c>
      <c r="AB24" s="12">
        <v>1.2700000000000001E-3</v>
      </c>
      <c r="AC24" s="12">
        <v>1.2700000000000001E-3</v>
      </c>
      <c r="AD24" s="12">
        <v>1.2700000000000001E-3</v>
      </c>
      <c r="AE24" s="12">
        <v>1.2600000000000001E-3</v>
      </c>
      <c r="AF24" s="12">
        <v>1.2600000000000001E-3</v>
      </c>
      <c r="AG24" s="12">
        <v>1.25E-3</v>
      </c>
      <c r="AH24" s="12">
        <v>1.2600000000000001E-3</v>
      </c>
      <c r="AI24" s="12">
        <v>1.2700000000000001E-3</v>
      </c>
      <c r="AJ24" s="12">
        <v>1.2899999999999999E-3</v>
      </c>
      <c r="AK24" s="12">
        <v>1.3500000000000001E-3</v>
      </c>
      <c r="AL24" s="12">
        <v>1.42E-3</v>
      </c>
      <c r="AM24" s="12">
        <v>1.49E-3</v>
      </c>
      <c r="AN24" s="12">
        <v>1.57E-3</v>
      </c>
      <c r="AO24" s="12">
        <v>1.66E-3</v>
      </c>
      <c r="AP24" s="12">
        <v>1.7600000000000001E-3</v>
      </c>
      <c r="AQ24" s="12">
        <v>1.8600000000000001E-3</v>
      </c>
      <c r="AR24" s="12">
        <v>1.98E-3</v>
      </c>
      <c r="AS24" s="12">
        <v>2.1099999999999999E-3</v>
      </c>
      <c r="AT24" s="12">
        <v>2.2499999999999998E-3</v>
      </c>
      <c r="AU24" s="12">
        <v>2.3999999999999998E-3</v>
      </c>
      <c r="AV24" s="12">
        <v>2.5600000000000002E-3</v>
      </c>
      <c r="AW24" s="12">
        <v>2.7499999999999998E-3</v>
      </c>
      <c r="AX24" s="12">
        <v>2.9499999999999999E-3</v>
      </c>
      <c r="AY24" s="12">
        <v>3.1700000000000001E-3</v>
      </c>
      <c r="AZ24" s="12">
        <v>3.4099999999999998E-3</v>
      </c>
      <c r="BA24" s="12">
        <v>3.6700000000000001E-3</v>
      </c>
      <c r="BB24" s="12">
        <v>3.96E-3</v>
      </c>
      <c r="BC24" s="12">
        <v>4.2700000000000004E-3</v>
      </c>
      <c r="BD24" s="12">
        <v>4.62E-3</v>
      </c>
      <c r="BE24" s="12">
        <v>4.9899999999999996E-3</v>
      </c>
      <c r="BF24" s="12">
        <v>5.4099999999999999E-3</v>
      </c>
      <c r="BG24" s="12">
        <v>5.8599999999999998E-3</v>
      </c>
      <c r="BH24" s="12">
        <v>6.3499999999999997E-3</v>
      </c>
      <c r="BI24" s="12">
        <v>6.8999999999999999E-3</v>
      </c>
      <c r="BJ24" s="12">
        <v>7.4900000000000001E-3</v>
      </c>
      <c r="BK24" s="12">
        <v>8.1399999999999997E-3</v>
      </c>
      <c r="BL24" s="12">
        <v>8.8599999999999998E-3</v>
      </c>
      <c r="BM24" s="12">
        <v>9.6399999999999993E-3</v>
      </c>
      <c r="BN24" s="12">
        <v>1.0489999999999999E-2</v>
      </c>
      <c r="BO24" s="12">
        <v>1.1429999999999999E-2</v>
      </c>
      <c r="BP24" s="12">
        <v>1.2460000000000001E-2</v>
      </c>
      <c r="BQ24" s="12">
        <v>1.358E-2</v>
      </c>
      <c r="BR24" s="12">
        <v>1.481E-2</v>
      </c>
      <c r="BS24" s="12">
        <v>1.6160000000000001E-2</v>
      </c>
      <c r="BT24" s="12">
        <v>1.763E-2</v>
      </c>
      <c r="BU24" s="12">
        <v>1.925E-2</v>
      </c>
      <c r="BV24" s="12">
        <v>2.102E-2</v>
      </c>
      <c r="BW24" s="12">
        <v>2.2950000000000002E-2</v>
      </c>
      <c r="BX24" s="12">
        <v>2.5080000000000002E-2</v>
      </c>
      <c r="BY24" s="12">
        <v>2.7400000000000001E-2</v>
      </c>
      <c r="BZ24" s="12">
        <v>2.9940000000000001E-2</v>
      </c>
      <c r="CA24" s="12">
        <v>3.2730000000000002E-2</v>
      </c>
      <c r="CB24" s="12">
        <v>3.5779999999999999E-2</v>
      </c>
      <c r="CC24" s="12">
        <v>3.9120000000000002E-2</v>
      </c>
      <c r="CD24" s="12">
        <v>4.2779999999999999E-2</v>
      </c>
      <c r="CE24" s="12">
        <v>4.6789999999999998E-2</v>
      </c>
      <c r="CF24" s="12">
        <v>5.1180000000000003E-2</v>
      </c>
      <c r="CG24" s="12">
        <v>5.5980000000000002E-2</v>
      </c>
      <c r="CH24" s="12">
        <v>6.1249999999999999E-2</v>
      </c>
      <c r="CI24" s="12">
        <v>6.701E-2</v>
      </c>
      <c r="CJ24" s="12">
        <v>7.3319999999999996E-2</v>
      </c>
      <c r="CK24" s="12">
        <v>8.0240000000000006E-2</v>
      </c>
      <c r="CL24" s="12">
        <v>8.7809999999999999E-2</v>
      </c>
      <c r="CM24" s="12">
        <v>9.6089999999999995E-2</v>
      </c>
      <c r="CN24" s="12">
        <v>0.10517</v>
      </c>
      <c r="CO24" s="12">
        <v>0.11511</v>
      </c>
      <c r="CP24" s="12">
        <v>0.126</v>
      </c>
      <c r="CQ24" s="12">
        <v>0.13791999999999999</v>
      </c>
      <c r="CR24" s="12">
        <v>0.15098</v>
      </c>
      <c r="CS24" s="12">
        <v>0.16528000000000001</v>
      </c>
      <c r="CT24" s="12">
        <v>0.18093000000000001</v>
      </c>
      <c r="CU24" s="12">
        <v>0.19808000000000001</v>
      </c>
      <c r="CV24" s="12">
        <v>0.21686</v>
      </c>
      <c r="CW24" s="12">
        <v>0.23741999999999999</v>
      </c>
      <c r="CX24" s="12">
        <v>0.25994</v>
      </c>
      <c r="CY24" s="12">
        <v>0.28460000000000002</v>
      </c>
      <c r="CZ24" s="12">
        <v>0.31161</v>
      </c>
      <c r="DA24" s="12">
        <v>0.34117999999999998</v>
      </c>
      <c r="DB24" s="12">
        <v>0.37357000000000001</v>
      </c>
      <c r="DC24" s="12">
        <v>0.40904000000000001</v>
      </c>
      <c r="DD24" s="12">
        <v>0.44788</v>
      </c>
      <c r="DE24" s="12">
        <v>0.49042000000000002</v>
      </c>
      <c r="DF24" s="12">
        <v>0.53700000000000003</v>
      </c>
      <c r="DG24" s="12">
        <v>0.58801000000000003</v>
      </c>
      <c r="DH24" s="12">
        <v>0.64387000000000005</v>
      </c>
      <c r="DI24" s="12">
        <v>0.70504999999999995</v>
      </c>
      <c r="DJ24" s="12">
        <v>0.77203999999999995</v>
      </c>
      <c r="DK24" s="12">
        <v>0.84540000000000004</v>
      </c>
      <c r="DL24" s="12">
        <v>0.92574999999999996</v>
      </c>
      <c r="DM24" s="12">
        <v>1</v>
      </c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</row>
    <row r="25" spans="1:130">
      <c r="A25" s="2" t="s">
        <v>204</v>
      </c>
      <c r="B25" s="4" t="s">
        <v>9</v>
      </c>
      <c r="C25" s="2"/>
      <c r="D25" s="12">
        <v>3.8000000000000002E-4</v>
      </c>
      <c r="E25" s="12">
        <v>3.8000000000000002E-4</v>
      </c>
      <c r="F25" s="12">
        <v>2.0000000000000001E-4</v>
      </c>
      <c r="G25" s="12">
        <v>1.2999999999999999E-4</v>
      </c>
      <c r="H25" s="12">
        <v>1E-4</v>
      </c>
      <c r="I25" s="12">
        <v>8.0000000000000007E-5</v>
      </c>
      <c r="J25" s="12">
        <v>6.9999999999999994E-5</v>
      </c>
      <c r="K25" s="12">
        <v>6.9999999999999994E-5</v>
      </c>
      <c r="L25" s="12">
        <v>8.0000000000000007E-5</v>
      </c>
      <c r="M25" s="12">
        <v>9.0000000000000006E-5</v>
      </c>
      <c r="N25" s="12">
        <v>1.2E-4</v>
      </c>
      <c r="O25" s="12">
        <v>1.4999999999999999E-4</v>
      </c>
      <c r="P25" s="12">
        <v>1.8000000000000001E-4</v>
      </c>
      <c r="Q25" s="12">
        <v>2.2000000000000001E-4</v>
      </c>
      <c r="R25" s="12">
        <v>2.5000000000000001E-4</v>
      </c>
      <c r="S25" s="12">
        <v>2.7E-4</v>
      </c>
      <c r="T25" s="12">
        <v>2.9E-4</v>
      </c>
      <c r="U25" s="12">
        <v>2.9999999999999997E-4</v>
      </c>
      <c r="V25" s="12">
        <v>3.1E-4</v>
      </c>
      <c r="W25" s="12">
        <v>2.9999999999999997E-4</v>
      </c>
      <c r="X25" s="12">
        <v>2.9999999999999997E-4</v>
      </c>
      <c r="Y25" s="12">
        <v>2.9999999999999997E-4</v>
      </c>
      <c r="Z25" s="12">
        <v>2.9E-4</v>
      </c>
      <c r="AA25" s="12">
        <v>2.9E-4</v>
      </c>
      <c r="AB25" s="12">
        <v>2.9E-4</v>
      </c>
      <c r="AC25" s="12">
        <v>2.9E-4</v>
      </c>
      <c r="AD25" s="12">
        <v>2.9E-4</v>
      </c>
      <c r="AE25" s="12">
        <v>2.9999999999999997E-4</v>
      </c>
      <c r="AF25" s="12">
        <v>3.2000000000000003E-4</v>
      </c>
      <c r="AG25" s="12">
        <v>3.3E-4</v>
      </c>
      <c r="AH25" s="12">
        <v>3.5E-4</v>
      </c>
      <c r="AI25" s="12">
        <v>3.6999999999999999E-4</v>
      </c>
      <c r="AJ25" s="12">
        <v>4.0000000000000002E-4</v>
      </c>
      <c r="AK25" s="12">
        <v>4.2000000000000002E-4</v>
      </c>
      <c r="AL25" s="12">
        <v>4.4999999999999999E-4</v>
      </c>
      <c r="AM25" s="12">
        <v>4.6999999999999999E-4</v>
      </c>
      <c r="AN25" s="12">
        <v>5.1000000000000004E-4</v>
      </c>
      <c r="AO25" s="12">
        <v>5.4000000000000001E-4</v>
      </c>
      <c r="AP25" s="12">
        <v>5.8E-4</v>
      </c>
      <c r="AQ25" s="12">
        <v>6.2E-4</v>
      </c>
      <c r="AR25" s="12">
        <v>6.6E-4</v>
      </c>
      <c r="AS25" s="12">
        <v>7.1000000000000002E-4</v>
      </c>
      <c r="AT25" s="12">
        <v>7.6999999999999996E-4</v>
      </c>
      <c r="AU25" s="12">
        <v>8.3000000000000001E-4</v>
      </c>
      <c r="AV25" s="12">
        <v>8.8999999999999995E-4</v>
      </c>
      <c r="AW25" s="12">
        <v>9.6000000000000002E-4</v>
      </c>
      <c r="AX25" s="12">
        <v>1.0399999999999999E-3</v>
      </c>
      <c r="AY25" s="12">
        <v>1.1199999999999999E-3</v>
      </c>
      <c r="AZ25" s="12">
        <v>1.2099999999999999E-3</v>
      </c>
      <c r="BA25" s="12">
        <v>1.31E-3</v>
      </c>
      <c r="BB25" s="12">
        <v>1.42E-3</v>
      </c>
      <c r="BC25" s="12">
        <v>1.5499999999999999E-3</v>
      </c>
      <c r="BD25" s="12">
        <v>1.6900000000000001E-3</v>
      </c>
      <c r="BE25" s="12">
        <v>1.8500000000000001E-3</v>
      </c>
      <c r="BF25" s="12">
        <v>2.0300000000000001E-3</v>
      </c>
      <c r="BG25" s="12">
        <v>2.2300000000000002E-3</v>
      </c>
      <c r="BH25" s="12">
        <v>2.4499999999999999E-3</v>
      </c>
      <c r="BI25" s="12">
        <v>2.7100000000000002E-3</v>
      </c>
      <c r="BJ25" s="12">
        <v>2.99E-3</v>
      </c>
      <c r="BK25" s="12">
        <v>3.3E-3</v>
      </c>
      <c r="BL25" s="12">
        <v>3.65E-3</v>
      </c>
      <c r="BM25" s="12">
        <v>4.0299999999999997E-3</v>
      </c>
      <c r="BN25" s="12">
        <v>4.45E-3</v>
      </c>
      <c r="BO25" s="12">
        <v>4.9100000000000003E-3</v>
      </c>
      <c r="BP25" s="12">
        <v>5.4099999999999999E-3</v>
      </c>
      <c r="BQ25" s="12">
        <v>5.9300000000000004E-3</v>
      </c>
      <c r="BR25" s="12">
        <v>6.4799999999999996E-3</v>
      </c>
      <c r="BS25" s="12">
        <v>7.1000000000000004E-3</v>
      </c>
      <c r="BT25" s="12">
        <v>7.7499999999999999E-3</v>
      </c>
      <c r="BU25" s="12">
        <v>8.43E-3</v>
      </c>
      <c r="BV25" s="12">
        <v>9.1900000000000003E-3</v>
      </c>
      <c r="BW25" s="12">
        <v>1.0059999999999999E-2</v>
      </c>
      <c r="BX25" s="12">
        <v>1.102E-2</v>
      </c>
      <c r="BY25" s="12">
        <v>1.204E-2</v>
      </c>
      <c r="BZ25" s="12">
        <v>1.3129999999999999E-2</v>
      </c>
      <c r="CA25" s="12">
        <v>1.4330000000000001E-2</v>
      </c>
      <c r="CB25" s="12">
        <v>1.566E-2</v>
      </c>
      <c r="CC25" s="12">
        <v>1.7139999999999999E-2</v>
      </c>
      <c r="CD25" s="12">
        <v>1.8759999999999999E-2</v>
      </c>
      <c r="CE25" s="12">
        <v>2.0549999999999999E-2</v>
      </c>
      <c r="CF25" s="12">
        <v>2.264E-2</v>
      </c>
      <c r="CG25" s="12">
        <v>2.5159999999999998E-2</v>
      </c>
      <c r="CH25" s="12">
        <v>2.8170000000000001E-2</v>
      </c>
      <c r="CI25" s="12">
        <v>3.1759999999999997E-2</v>
      </c>
      <c r="CJ25" s="12">
        <v>3.5770000000000003E-2</v>
      </c>
      <c r="CK25" s="12">
        <v>4.0419999999999998E-2</v>
      </c>
      <c r="CL25" s="12">
        <v>4.582E-2</v>
      </c>
      <c r="CM25" s="12">
        <v>5.219E-2</v>
      </c>
      <c r="CN25" s="12">
        <v>5.9279999999999999E-2</v>
      </c>
      <c r="CO25" s="12">
        <v>6.7339999999999997E-2</v>
      </c>
      <c r="CP25" s="12">
        <v>7.6509999999999995E-2</v>
      </c>
      <c r="CQ25" s="12">
        <v>8.727E-2</v>
      </c>
      <c r="CR25" s="12">
        <v>9.9059999999999995E-2</v>
      </c>
      <c r="CS25" s="12">
        <v>0.11226999999999999</v>
      </c>
      <c r="CT25" s="12">
        <v>0.128</v>
      </c>
      <c r="CU25" s="12">
        <v>0.14641000000000001</v>
      </c>
      <c r="CV25" s="12">
        <v>0.16835</v>
      </c>
      <c r="CW25" s="12">
        <v>0.18672</v>
      </c>
      <c r="CX25" s="12">
        <v>0.20477000000000001</v>
      </c>
      <c r="CY25" s="12">
        <v>0.22456999999999999</v>
      </c>
      <c r="CZ25" s="12">
        <v>0.24628</v>
      </c>
      <c r="DA25" s="12">
        <v>0.27010000000000001</v>
      </c>
      <c r="DB25" s="12">
        <v>0.29621999999999998</v>
      </c>
      <c r="DC25" s="12">
        <v>0.32488</v>
      </c>
      <c r="DD25" s="12">
        <v>0.35632000000000003</v>
      </c>
      <c r="DE25" s="12">
        <v>0.39079999999999998</v>
      </c>
      <c r="DF25" s="12">
        <v>0.42862</v>
      </c>
      <c r="DG25" s="12">
        <v>0.47010999999999997</v>
      </c>
      <c r="DH25" s="12">
        <v>0.51561999999999997</v>
      </c>
      <c r="DI25" s="12">
        <v>0.56552999999999998</v>
      </c>
      <c r="DJ25" s="12">
        <v>0.62029000000000001</v>
      </c>
      <c r="DK25" s="12">
        <v>0.68035000000000001</v>
      </c>
      <c r="DL25" s="12">
        <v>0.74622999999999995</v>
      </c>
      <c r="DM25" s="12">
        <v>0.81849000000000005</v>
      </c>
      <c r="DN25" s="12">
        <v>0.89776</v>
      </c>
      <c r="DO25" s="12">
        <v>0.98470999999999997</v>
      </c>
      <c r="DP25" s="12">
        <v>1</v>
      </c>
      <c r="DQ25" s="12"/>
      <c r="DR25" s="12"/>
      <c r="DS25" s="12"/>
      <c r="DT25" s="12"/>
      <c r="DU25" s="12"/>
      <c r="DV25" s="12"/>
      <c r="DW25" s="12"/>
      <c r="DX25" s="12"/>
      <c r="DY25" s="12"/>
      <c r="DZ25" s="12"/>
    </row>
    <row r="26" spans="1:130">
      <c r="A26" s="2" t="s">
        <v>204</v>
      </c>
      <c r="B26" s="4" t="s">
        <v>8</v>
      </c>
      <c r="C26" s="2"/>
      <c r="D26" s="12">
        <v>2E-3</v>
      </c>
      <c r="E26" s="12">
        <v>6.8999999999999997E-4</v>
      </c>
      <c r="F26" s="12">
        <v>3.5E-4</v>
      </c>
      <c r="G26" s="12">
        <v>2.2000000000000001E-4</v>
      </c>
      <c r="H26" s="12">
        <v>1.6000000000000001E-4</v>
      </c>
      <c r="I26" s="12">
        <v>1.2999999999999999E-4</v>
      </c>
      <c r="J26" s="12">
        <v>1.2E-4</v>
      </c>
      <c r="K26" s="12">
        <v>1.1E-4</v>
      </c>
      <c r="L26" s="12">
        <v>1.1E-4</v>
      </c>
      <c r="M26" s="12">
        <v>1.2E-4</v>
      </c>
      <c r="N26" s="12">
        <v>1.2999999999999999E-4</v>
      </c>
      <c r="O26" s="12">
        <v>1.4999999999999999E-4</v>
      </c>
      <c r="P26" s="12">
        <v>1.9000000000000001E-4</v>
      </c>
      <c r="Q26" s="12">
        <v>2.4000000000000001E-4</v>
      </c>
      <c r="R26" s="12">
        <v>3.1E-4</v>
      </c>
      <c r="S26" s="12">
        <v>3.8999999999999999E-4</v>
      </c>
      <c r="T26" s="12">
        <v>4.8000000000000001E-4</v>
      </c>
      <c r="U26" s="12">
        <v>5.6999999999999998E-4</v>
      </c>
      <c r="V26" s="12">
        <v>6.6E-4</v>
      </c>
      <c r="W26" s="12">
        <v>7.3999999999999999E-4</v>
      </c>
      <c r="X26" s="12">
        <v>8.0000000000000004E-4</v>
      </c>
      <c r="Y26" s="12">
        <v>8.4999999999999995E-4</v>
      </c>
      <c r="Z26" s="12">
        <v>8.8999999999999995E-4</v>
      </c>
      <c r="AA26" s="12">
        <v>9.2000000000000003E-4</v>
      </c>
      <c r="AB26" s="12">
        <v>9.3000000000000005E-4</v>
      </c>
      <c r="AC26" s="12">
        <v>9.3000000000000005E-4</v>
      </c>
      <c r="AD26" s="12">
        <v>9.3000000000000005E-4</v>
      </c>
      <c r="AE26" s="12">
        <v>9.2000000000000003E-4</v>
      </c>
      <c r="AF26" s="12">
        <v>9.2000000000000003E-4</v>
      </c>
      <c r="AG26" s="12">
        <v>9.1E-4</v>
      </c>
      <c r="AH26" s="12">
        <v>9.2000000000000003E-4</v>
      </c>
      <c r="AI26" s="12">
        <v>9.3000000000000005E-4</v>
      </c>
      <c r="AJ26" s="12">
        <v>9.3999999999999997E-4</v>
      </c>
      <c r="AK26" s="12">
        <v>9.8999999999999999E-4</v>
      </c>
      <c r="AL26" s="12">
        <v>1.0300000000000001E-3</v>
      </c>
      <c r="AM26" s="12">
        <v>1.09E-3</v>
      </c>
      <c r="AN26" s="12">
        <v>1.15E-3</v>
      </c>
      <c r="AO26" s="12">
        <v>1.2099999999999999E-3</v>
      </c>
      <c r="AP26" s="12">
        <v>1.2800000000000001E-3</v>
      </c>
      <c r="AQ26" s="12">
        <v>1.3600000000000001E-3</v>
      </c>
      <c r="AR26" s="12">
        <v>1.4400000000000001E-3</v>
      </c>
      <c r="AS26" s="12">
        <v>1.5299999999999999E-3</v>
      </c>
      <c r="AT26" s="12">
        <v>1.64E-3</v>
      </c>
      <c r="AU26" s="12">
        <v>1.75E-3</v>
      </c>
      <c r="AV26" s="12">
        <v>1.8699999999999999E-3</v>
      </c>
      <c r="AW26" s="12">
        <v>2E-3</v>
      </c>
      <c r="AX26" s="12">
        <v>2.15E-3</v>
      </c>
      <c r="AY26" s="12">
        <v>2.31E-3</v>
      </c>
      <c r="AZ26" s="12">
        <v>2.49E-3</v>
      </c>
      <c r="BA26" s="12">
        <v>2.6800000000000001E-3</v>
      </c>
      <c r="BB26" s="12">
        <v>2.8999999999999998E-3</v>
      </c>
      <c r="BC26" s="12">
        <v>3.13E-3</v>
      </c>
      <c r="BD26" s="12">
        <v>3.3899999999999998E-3</v>
      </c>
      <c r="BE26" s="12">
        <v>3.6700000000000001E-3</v>
      </c>
      <c r="BF26" s="12">
        <v>3.98E-3</v>
      </c>
      <c r="BG26" s="12">
        <v>4.3099999999999996E-3</v>
      </c>
      <c r="BH26" s="12">
        <v>4.6800000000000001E-3</v>
      </c>
      <c r="BI26" s="12">
        <v>5.0899999999999999E-3</v>
      </c>
      <c r="BJ26" s="12">
        <v>5.5399999999999998E-3</v>
      </c>
      <c r="BK26" s="12">
        <v>6.0299999999999998E-3</v>
      </c>
      <c r="BL26" s="12">
        <v>6.5599999999999999E-3</v>
      </c>
      <c r="BM26" s="12">
        <v>7.1500000000000001E-3</v>
      </c>
      <c r="BN26" s="12">
        <v>7.7999999999999996E-3</v>
      </c>
      <c r="BO26" s="12">
        <v>8.5100000000000002E-3</v>
      </c>
      <c r="BP26" s="12">
        <v>9.2899999999999996E-3</v>
      </c>
      <c r="BQ26" s="12">
        <v>1.014E-2</v>
      </c>
      <c r="BR26" s="12">
        <v>1.107E-2</v>
      </c>
      <c r="BS26" s="12">
        <v>1.21E-2</v>
      </c>
      <c r="BT26" s="12">
        <v>1.323E-2</v>
      </c>
      <c r="BU26" s="12">
        <v>1.4460000000000001E-2</v>
      </c>
      <c r="BV26" s="12">
        <v>1.5810000000000001E-2</v>
      </c>
      <c r="BW26" s="12">
        <v>1.7299999999999999E-2</v>
      </c>
      <c r="BX26" s="12">
        <v>1.8929999999999999E-2</v>
      </c>
      <c r="BY26" s="12">
        <v>2.0719999999999999E-2</v>
      </c>
      <c r="BZ26" s="12">
        <v>2.2679999999999999E-2</v>
      </c>
      <c r="CA26" s="12">
        <v>2.4830000000000001E-2</v>
      </c>
      <c r="CB26" s="12">
        <v>2.7189999999999999E-2</v>
      </c>
      <c r="CC26" s="12">
        <v>2.9770000000000001E-2</v>
      </c>
      <c r="CD26" s="12">
        <v>3.261E-2</v>
      </c>
      <c r="CE26" s="12">
        <v>3.5729999999999998E-2</v>
      </c>
      <c r="CF26" s="12">
        <v>3.9140000000000001E-2</v>
      </c>
      <c r="CG26" s="12">
        <v>4.2889999999999998E-2</v>
      </c>
      <c r="CH26" s="12">
        <v>4.7E-2</v>
      </c>
      <c r="CI26" s="12">
        <v>5.1499999999999997E-2</v>
      </c>
      <c r="CJ26" s="12">
        <v>5.645E-2</v>
      </c>
      <c r="CK26" s="12">
        <v>6.1870000000000001E-2</v>
      </c>
      <c r="CL26" s="12">
        <v>6.7820000000000005E-2</v>
      </c>
      <c r="CM26" s="12">
        <v>7.4340000000000003E-2</v>
      </c>
      <c r="CN26" s="12">
        <v>8.1500000000000003E-2</v>
      </c>
      <c r="CO26" s="12">
        <v>8.9349999999999999E-2</v>
      </c>
      <c r="CP26" s="12">
        <v>9.7960000000000005E-2</v>
      </c>
      <c r="CQ26" s="12">
        <v>0.10741000000000001</v>
      </c>
      <c r="CR26" s="12">
        <v>0.11777</v>
      </c>
      <c r="CS26" s="12">
        <v>0.12912999999999999</v>
      </c>
      <c r="CT26" s="12">
        <v>0.1416</v>
      </c>
      <c r="CU26" s="12">
        <v>0.15526999999999999</v>
      </c>
      <c r="CV26" s="12">
        <v>0.17027</v>
      </c>
      <c r="CW26" s="12">
        <v>0.18672</v>
      </c>
      <c r="CX26" s="12">
        <v>0.20477000000000001</v>
      </c>
      <c r="CY26" s="12">
        <v>0.22456999999999999</v>
      </c>
      <c r="CZ26" s="12">
        <v>0.24628</v>
      </c>
      <c r="DA26" s="12">
        <v>0.27010000000000001</v>
      </c>
      <c r="DB26" s="12">
        <v>0.29621999999999998</v>
      </c>
      <c r="DC26" s="12">
        <v>0.32488</v>
      </c>
      <c r="DD26" s="12">
        <v>0.35632000000000003</v>
      </c>
      <c r="DE26" s="12">
        <v>0.39079999999999998</v>
      </c>
      <c r="DF26" s="12">
        <v>0.42862</v>
      </c>
      <c r="DG26" s="12">
        <v>0.47010999999999997</v>
      </c>
      <c r="DH26" s="12">
        <v>0.51561999999999997</v>
      </c>
      <c r="DI26" s="12">
        <v>0.56552999999999998</v>
      </c>
      <c r="DJ26" s="12">
        <v>0.62029000000000001</v>
      </c>
      <c r="DK26" s="12">
        <v>0.68035000000000001</v>
      </c>
      <c r="DL26" s="12">
        <v>0.74622999999999995</v>
      </c>
      <c r="DM26" s="12">
        <v>0.81849000000000005</v>
      </c>
      <c r="DN26" s="12">
        <v>0.89776</v>
      </c>
      <c r="DO26" s="12">
        <v>0.98470999999999997</v>
      </c>
      <c r="DP26" s="12">
        <v>1</v>
      </c>
      <c r="DQ26" s="12"/>
      <c r="DR26" s="12"/>
      <c r="DS26" s="12"/>
      <c r="DT26" s="12"/>
      <c r="DU26" s="12"/>
      <c r="DV26" s="12"/>
      <c r="DW26" s="12"/>
      <c r="DX26" s="12"/>
      <c r="DY26" s="12"/>
      <c r="DZ26" s="12"/>
    </row>
    <row r="27" spans="1:130">
      <c r="A27" s="2" t="s">
        <v>204</v>
      </c>
      <c r="B27" s="6" t="s">
        <v>147</v>
      </c>
      <c r="C27" s="7"/>
      <c r="D27" s="11">
        <v>8.3199999999999993E-3</v>
      </c>
      <c r="E27" s="11">
        <v>2.0699999999999998E-3</v>
      </c>
      <c r="F27" s="11">
        <v>1.7899999999999999E-3</v>
      </c>
      <c r="G27" s="11">
        <v>1.72E-3</v>
      </c>
      <c r="H27" s="11">
        <v>1.65E-3</v>
      </c>
      <c r="I27" s="11">
        <v>1.5900000000000001E-3</v>
      </c>
      <c r="J27" s="11">
        <v>1.5299999999999999E-3</v>
      </c>
      <c r="K27" s="11">
        <v>1.48E-3</v>
      </c>
      <c r="L27" s="11">
        <v>1.4499999999999999E-3</v>
      </c>
      <c r="M27" s="11">
        <v>1.42E-3</v>
      </c>
      <c r="N27" s="11">
        <v>1.42E-3</v>
      </c>
      <c r="O27" s="11">
        <v>1.4499999999999999E-3</v>
      </c>
      <c r="P27" s="11">
        <v>1.48E-3</v>
      </c>
      <c r="Q27" s="11">
        <v>1.5499999999999999E-3</v>
      </c>
      <c r="R27" s="11">
        <v>1.6299999999999999E-3</v>
      </c>
      <c r="S27" s="11">
        <v>1.72E-3</v>
      </c>
      <c r="T27" s="11">
        <v>1.81E-3</v>
      </c>
      <c r="U27" s="11">
        <v>1.9E-3</v>
      </c>
      <c r="V27" s="11">
        <v>1.99E-3</v>
      </c>
      <c r="W27" s="11">
        <v>2.0300000000000001E-3</v>
      </c>
      <c r="X27" s="11">
        <v>2.0899999999999998E-3</v>
      </c>
      <c r="Y27" s="11">
        <v>2.14E-3</v>
      </c>
      <c r="Z27" s="11">
        <v>2.1800000000000001E-3</v>
      </c>
      <c r="AA27" s="11">
        <v>2.2100000000000002E-3</v>
      </c>
      <c r="AB27" s="11">
        <v>2.2399999999999998E-3</v>
      </c>
      <c r="AC27" s="11">
        <v>2.2599999999999999E-3</v>
      </c>
      <c r="AD27" s="11">
        <v>2.2799999999999999E-3</v>
      </c>
      <c r="AE27" s="11">
        <v>2.3E-3</v>
      </c>
      <c r="AF27" s="11">
        <v>2.33E-3</v>
      </c>
      <c r="AG27" s="11">
        <v>2.3600000000000001E-3</v>
      </c>
      <c r="AH27" s="11">
        <v>2.3999999999999998E-3</v>
      </c>
      <c r="AI27" s="11">
        <v>2.4499999999999999E-3</v>
      </c>
      <c r="AJ27" s="11">
        <v>2.5100000000000001E-3</v>
      </c>
      <c r="AK27" s="11">
        <v>2.5999999999999999E-3</v>
      </c>
      <c r="AL27" s="11">
        <v>2.7100000000000002E-3</v>
      </c>
      <c r="AM27" s="11">
        <v>2.8500000000000001E-3</v>
      </c>
      <c r="AN27" s="11">
        <v>3.0200000000000001E-3</v>
      </c>
      <c r="AO27" s="11">
        <v>3.2100000000000002E-3</v>
      </c>
      <c r="AP27" s="11">
        <v>3.4499999999999999E-3</v>
      </c>
      <c r="AQ27" s="11">
        <v>3.7200000000000002E-3</v>
      </c>
      <c r="AR27" s="11">
        <v>4.0200000000000001E-3</v>
      </c>
      <c r="AS27" s="11">
        <v>4.3699999999999998E-3</v>
      </c>
      <c r="AT27" s="11">
        <v>4.7499999999999999E-3</v>
      </c>
      <c r="AU27" s="11">
        <v>5.1799999999999997E-3</v>
      </c>
      <c r="AV27" s="11">
        <v>5.64E-3</v>
      </c>
      <c r="AW27" s="11">
        <v>6.1500000000000001E-3</v>
      </c>
      <c r="AX27" s="11">
        <v>6.7000000000000002E-3</v>
      </c>
      <c r="AY27" s="11">
        <v>7.3099999999999997E-3</v>
      </c>
      <c r="AZ27" s="11">
        <v>7.9799999999999992E-3</v>
      </c>
      <c r="BA27" s="11">
        <v>8.7200000000000003E-3</v>
      </c>
      <c r="BB27" s="11">
        <v>9.5200000000000007E-3</v>
      </c>
      <c r="BC27" s="11">
        <v>1.04E-2</v>
      </c>
      <c r="BD27" s="11">
        <v>1.137E-2</v>
      </c>
      <c r="BE27" s="11">
        <v>1.244E-2</v>
      </c>
      <c r="BF27" s="11">
        <v>1.3610000000000001E-2</v>
      </c>
      <c r="BG27" s="11">
        <v>1.4880000000000001E-2</v>
      </c>
      <c r="BH27" s="11">
        <v>1.6240000000000001E-2</v>
      </c>
      <c r="BI27" s="11">
        <v>1.77E-2</v>
      </c>
      <c r="BJ27" s="11">
        <v>1.924E-2</v>
      </c>
      <c r="BK27" s="11">
        <v>2.087E-2</v>
      </c>
      <c r="BL27" s="11">
        <v>2.2620000000000001E-2</v>
      </c>
      <c r="BM27" s="11">
        <v>2.4510000000000001E-2</v>
      </c>
      <c r="BN27" s="11">
        <v>2.6599999999999999E-2</v>
      </c>
      <c r="BO27" s="11">
        <v>2.886E-2</v>
      </c>
      <c r="BP27" s="11">
        <v>3.1309999999999998E-2</v>
      </c>
      <c r="BQ27" s="11">
        <v>3.4000000000000002E-2</v>
      </c>
      <c r="BR27" s="11">
        <v>3.6999999999999998E-2</v>
      </c>
      <c r="BS27" s="11">
        <v>4.0320000000000002E-2</v>
      </c>
      <c r="BT27" s="11">
        <v>4.4010000000000001E-2</v>
      </c>
      <c r="BU27" s="11">
        <v>4.8030000000000003E-2</v>
      </c>
      <c r="BV27" s="11">
        <v>5.2330000000000002E-2</v>
      </c>
      <c r="BW27" s="11">
        <v>5.6860000000000001E-2</v>
      </c>
      <c r="BX27" s="11">
        <v>6.1580000000000003E-2</v>
      </c>
      <c r="BY27" s="11">
        <v>6.6420000000000007E-2</v>
      </c>
      <c r="BZ27" s="11">
        <v>7.1529999999999996E-2</v>
      </c>
      <c r="CA27" s="11">
        <v>7.7039999999999997E-2</v>
      </c>
      <c r="CB27" s="11">
        <v>8.3140000000000006E-2</v>
      </c>
      <c r="CC27" s="11">
        <v>8.9980000000000004E-2</v>
      </c>
      <c r="CD27" s="11">
        <v>9.7710000000000005E-2</v>
      </c>
      <c r="CE27" s="11">
        <v>0.10625</v>
      </c>
      <c r="CF27" s="11">
        <v>0.11548</v>
      </c>
      <c r="CG27" s="11">
        <v>0.12531999999999999</v>
      </c>
      <c r="CH27" s="11">
        <v>0.13563</v>
      </c>
      <c r="CI27" s="11">
        <v>0.14635000000000001</v>
      </c>
      <c r="CJ27" s="11">
        <v>0.15751000000000001</v>
      </c>
      <c r="CK27" s="11">
        <v>0.16919999999999999</v>
      </c>
      <c r="CL27" s="11">
        <v>0.18146000000000001</v>
      </c>
      <c r="CM27" s="11">
        <v>0.19439000000000001</v>
      </c>
      <c r="CN27" s="11">
        <v>0.20816000000000001</v>
      </c>
      <c r="CO27" s="11">
        <v>0.22308</v>
      </c>
      <c r="CP27" s="11">
        <v>0.23955000000000001</v>
      </c>
      <c r="CQ27" s="11">
        <v>0.25806000000000001</v>
      </c>
      <c r="CR27" s="11">
        <v>0.27922999999999998</v>
      </c>
      <c r="CS27" s="11">
        <v>0.30375999999999997</v>
      </c>
      <c r="CT27" s="11">
        <v>0.33249000000000001</v>
      </c>
      <c r="CU27" s="11">
        <v>0.36880000000000002</v>
      </c>
      <c r="CV27" s="11">
        <v>0.42059000000000002</v>
      </c>
      <c r="CW27" s="11">
        <v>0.51283999999999996</v>
      </c>
      <c r="CX27" s="11">
        <v>0.70155999999999996</v>
      </c>
      <c r="CY27" s="11">
        <v>1</v>
      </c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5"/>
      <c r="DM27" s="15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</row>
    <row r="28" spans="1:130">
      <c r="A28" s="2" t="s">
        <v>204</v>
      </c>
      <c r="B28" s="4" t="s">
        <v>12</v>
      </c>
      <c r="C28" s="2"/>
      <c r="D28" s="11">
        <v>2.2579999999999999E-2</v>
      </c>
      <c r="E28" s="11">
        <v>5.77E-3</v>
      </c>
      <c r="F28" s="11">
        <v>4.1399999999999996E-3</v>
      </c>
      <c r="G28" s="11">
        <v>3.3800000000000002E-3</v>
      </c>
      <c r="H28" s="11">
        <v>2.99E-3</v>
      </c>
      <c r="I28" s="11">
        <v>2.7599999999999999E-3</v>
      </c>
      <c r="J28" s="11">
        <v>2.6099999999999999E-3</v>
      </c>
      <c r="K28" s="11">
        <v>2.47E-3</v>
      </c>
      <c r="L28" s="11">
        <v>2.31E-3</v>
      </c>
      <c r="M28" s="11">
        <v>2.1199999999999999E-3</v>
      </c>
      <c r="N28" s="11">
        <v>1.97E-3</v>
      </c>
      <c r="O28" s="11">
        <v>1.91E-3</v>
      </c>
      <c r="P28" s="11">
        <v>1.92E-3</v>
      </c>
      <c r="Q28" s="11">
        <v>1.98E-3</v>
      </c>
      <c r="R28" s="11">
        <v>2.0699999999999998E-3</v>
      </c>
      <c r="S28" s="11">
        <v>2.15E-3</v>
      </c>
      <c r="T28" s="11">
        <v>2.1900000000000001E-3</v>
      </c>
      <c r="U28" s="11">
        <v>2.2499999999999998E-3</v>
      </c>
      <c r="V28" s="11">
        <v>2.3E-3</v>
      </c>
      <c r="W28" s="11">
        <v>2.3700000000000001E-3</v>
      </c>
      <c r="X28" s="11">
        <v>2.4299999999999999E-3</v>
      </c>
      <c r="Y28" s="11">
        <v>2.5100000000000001E-3</v>
      </c>
      <c r="Z28" s="11">
        <v>2.5899999999999999E-3</v>
      </c>
      <c r="AA28" s="11">
        <v>2.6800000000000001E-3</v>
      </c>
      <c r="AB28" s="11">
        <v>2.7699999999999999E-3</v>
      </c>
      <c r="AC28" s="11">
        <v>2.8800000000000002E-3</v>
      </c>
      <c r="AD28" s="11">
        <v>2.99E-3</v>
      </c>
      <c r="AE28" s="11">
        <v>3.1099999999999999E-3</v>
      </c>
      <c r="AF28" s="11">
        <v>3.2499999999999999E-3</v>
      </c>
      <c r="AG28" s="11">
        <v>3.3999999999999998E-3</v>
      </c>
      <c r="AH28" s="11">
        <v>3.5599999999999998E-3</v>
      </c>
      <c r="AI28" s="11">
        <v>3.7299999999999998E-3</v>
      </c>
      <c r="AJ28" s="11">
        <v>3.9199999999999999E-3</v>
      </c>
      <c r="AK28" s="11">
        <v>4.1200000000000004E-3</v>
      </c>
      <c r="AL28" s="11">
        <v>4.3499999999999997E-3</v>
      </c>
      <c r="AM28" s="11">
        <v>4.5900000000000003E-3</v>
      </c>
      <c r="AN28" s="11">
        <v>4.8599999999999997E-3</v>
      </c>
      <c r="AO28" s="11">
        <v>5.1500000000000001E-3</v>
      </c>
      <c r="AP28" s="11">
        <v>5.4599999999999996E-3</v>
      </c>
      <c r="AQ28" s="11">
        <v>5.8100000000000001E-3</v>
      </c>
      <c r="AR28" s="11">
        <v>6.1799999999999997E-3</v>
      </c>
      <c r="AS28" s="11">
        <v>6.5900000000000004E-3</v>
      </c>
      <c r="AT28" s="11">
        <v>7.0299999999999998E-3</v>
      </c>
      <c r="AU28" s="11">
        <v>7.5100000000000002E-3</v>
      </c>
      <c r="AV28" s="11">
        <v>8.0400000000000003E-3</v>
      </c>
      <c r="AW28" s="11">
        <v>8.6099999999999996E-3</v>
      </c>
      <c r="AX28" s="11">
        <v>9.2300000000000004E-3</v>
      </c>
      <c r="AY28" s="11">
        <v>9.9100000000000004E-3</v>
      </c>
      <c r="AZ28" s="11">
        <v>1.064E-2</v>
      </c>
      <c r="BA28" s="11">
        <v>1.145E-2</v>
      </c>
      <c r="BB28" s="11">
        <v>1.2319999999999999E-2</v>
      </c>
      <c r="BC28" s="11">
        <v>1.3270000000000001E-2</v>
      </c>
      <c r="BD28" s="11">
        <v>1.43E-2</v>
      </c>
      <c r="BE28" s="11">
        <v>1.5429999999999999E-2</v>
      </c>
      <c r="BF28" s="11">
        <v>1.6650000000000002E-2</v>
      </c>
      <c r="BG28" s="11">
        <v>1.7979999999999999E-2</v>
      </c>
      <c r="BH28" s="11">
        <v>1.9429999999999999E-2</v>
      </c>
      <c r="BI28" s="11">
        <v>2.1000000000000001E-2</v>
      </c>
      <c r="BJ28" s="11">
        <v>2.2710000000000001E-2</v>
      </c>
      <c r="BK28" s="11">
        <v>2.4570000000000002E-2</v>
      </c>
      <c r="BL28" s="11">
        <v>2.6589999999999999E-2</v>
      </c>
      <c r="BM28" s="11">
        <v>2.878E-2</v>
      </c>
      <c r="BN28" s="11">
        <v>3.1179999999999999E-2</v>
      </c>
      <c r="BO28" s="11">
        <v>3.3759999999999998E-2</v>
      </c>
      <c r="BP28" s="11">
        <v>3.6580000000000001E-2</v>
      </c>
      <c r="BQ28" s="11">
        <v>3.9640000000000002E-2</v>
      </c>
      <c r="BR28" s="11">
        <v>4.2959999999999998E-2</v>
      </c>
      <c r="BS28" s="11">
        <v>4.6559999999999997E-2</v>
      </c>
      <c r="BT28" s="11">
        <v>5.0459999999999998E-2</v>
      </c>
      <c r="BU28" s="11">
        <v>5.4699999999999999E-2</v>
      </c>
      <c r="BV28" s="11">
        <v>5.9299999999999999E-2</v>
      </c>
      <c r="BW28" s="11">
        <v>6.4269999999999994E-2</v>
      </c>
      <c r="BX28" s="11">
        <v>6.966E-2</v>
      </c>
      <c r="BY28" s="11">
        <v>7.5499999999999998E-2</v>
      </c>
      <c r="BZ28" s="11">
        <v>8.1809999999999994E-2</v>
      </c>
      <c r="CA28" s="11">
        <v>8.8639999999999997E-2</v>
      </c>
      <c r="CB28" s="11">
        <v>9.6019999999999994E-2</v>
      </c>
      <c r="CC28" s="11">
        <v>0.10399</v>
      </c>
      <c r="CD28" s="11">
        <v>0.11259</v>
      </c>
      <c r="CE28" s="11">
        <v>0.12186</v>
      </c>
      <c r="CF28" s="11">
        <v>0.13184999999999999</v>
      </c>
      <c r="CG28" s="11">
        <v>0.1426</v>
      </c>
      <c r="CH28" s="11">
        <v>0.15415999999999999</v>
      </c>
      <c r="CI28" s="11">
        <v>0.16657</v>
      </c>
      <c r="CJ28" s="11">
        <v>0.17988000000000001</v>
      </c>
      <c r="CK28" s="11">
        <v>0.19413</v>
      </c>
      <c r="CL28" s="11">
        <v>0.20937</v>
      </c>
      <c r="CM28" s="11">
        <v>0.22563</v>
      </c>
      <c r="CN28" s="11">
        <v>0.24299999999999999</v>
      </c>
      <c r="CO28" s="11">
        <v>0.26144000000000001</v>
      </c>
      <c r="CP28" s="11">
        <v>0.28099000000000002</v>
      </c>
      <c r="CQ28" s="11">
        <v>0.30173</v>
      </c>
      <c r="CR28" s="11">
        <v>0.32363999999999998</v>
      </c>
      <c r="CS28" s="11">
        <v>0.34666000000000002</v>
      </c>
      <c r="CT28" s="11">
        <v>0.371</v>
      </c>
      <c r="CU28" s="11">
        <v>0.39621000000000001</v>
      </c>
      <c r="CV28" s="11">
        <v>0.44718999999999998</v>
      </c>
      <c r="CW28" s="11">
        <v>0.54825999999999997</v>
      </c>
      <c r="CX28" s="11">
        <v>0.72467000000000004</v>
      </c>
      <c r="CY28" s="11">
        <v>1</v>
      </c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</row>
    <row r="29" spans="1:130">
      <c r="A29" s="2" t="s">
        <v>204</v>
      </c>
      <c r="B29" s="4" t="s">
        <v>13</v>
      </c>
      <c r="C29" s="2"/>
      <c r="D29" s="11">
        <v>7.0800000000000004E-3</v>
      </c>
      <c r="E29" s="11">
        <v>1.7600000000000001E-3</v>
      </c>
      <c r="F29" s="11">
        <v>1.5200000000000001E-3</v>
      </c>
      <c r="G29" s="11">
        <v>1.4599999999999999E-3</v>
      </c>
      <c r="H29" s="11">
        <v>1.4E-3</v>
      </c>
      <c r="I29" s="11">
        <v>1.3500000000000001E-3</v>
      </c>
      <c r="J29" s="11">
        <v>1.2999999999999999E-3</v>
      </c>
      <c r="K29" s="11">
        <v>1.2600000000000001E-3</v>
      </c>
      <c r="L29" s="11">
        <v>1.23E-3</v>
      </c>
      <c r="M29" s="11">
        <v>1.2099999999999999E-3</v>
      </c>
      <c r="N29" s="11">
        <v>1.2099999999999999E-3</v>
      </c>
      <c r="O29" s="11">
        <v>1.23E-3</v>
      </c>
      <c r="P29" s="11">
        <v>1.2600000000000001E-3</v>
      </c>
      <c r="Q29" s="11">
        <v>1.32E-3</v>
      </c>
      <c r="R29" s="11">
        <v>1.39E-3</v>
      </c>
      <c r="S29" s="11">
        <v>1.4599999999999999E-3</v>
      </c>
      <c r="T29" s="11">
        <v>1.5399999999999999E-3</v>
      </c>
      <c r="U29" s="11">
        <v>1.6199999999999999E-3</v>
      </c>
      <c r="V29" s="11">
        <v>1.6900000000000001E-3</v>
      </c>
      <c r="W29" s="11">
        <v>1.74E-3</v>
      </c>
      <c r="X29" s="11">
        <v>1.7899999999999999E-3</v>
      </c>
      <c r="Y29" s="11">
        <v>1.83E-3</v>
      </c>
      <c r="Z29" s="11">
        <v>1.8600000000000001E-3</v>
      </c>
      <c r="AA29" s="11">
        <v>1.89E-3</v>
      </c>
      <c r="AB29" s="11">
        <v>1.91E-3</v>
      </c>
      <c r="AC29" s="11">
        <v>1.9300000000000001E-3</v>
      </c>
      <c r="AD29" s="11">
        <v>1.9599999999999999E-3</v>
      </c>
      <c r="AE29" s="11">
        <v>1.99E-3</v>
      </c>
      <c r="AF29" s="11">
        <v>2.0300000000000001E-3</v>
      </c>
      <c r="AG29" s="11">
        <v>2.0799999999999998E-3</v>
      </c>
      <c r="AH29" s="11">
        <v>2.1299999999999999E-3</v>
      </c>
      <c r="AI29" s="11">
        <v>2.1900000000000001E-3</v>
      </c>
      <c r="AJ29" s="11">
        <v>2.2499999999999998E-3</v>
      </c>
      <c r="AK29" s="11">
        <v>2.32E-3</v>
      </c>
      <c r="AL29" s="11">
        <v>2.3999999999999998E-3</v>
      </c>
      <c r="AM29" s="11">
        <v>2.5100000000000001E-3</v>
      </c>
      <c r="AN29" s="11">
        <v>2.64E-3</v>
      </c>
      <c r="AO29" s="11">
        <v>2.8E-3</v>
      </c>
      <c r="AP29" s="11">
        <v>3.0100000000000001E-3</v>
      </c>
      <c r="AQ29" s="11">
        <v>3.2499999999999999E-3</v>
      </c>
      <c r="AR29" s="11">
        <v>3.5300000000000002E-3</v>
      </c>
      <c r="AS29" s="11">
        <v>3.8400000000000001E-3</v>
      </c>
      <c r="AT29" s="11">
        <v>4.1700000000000001E-3</v>
      </c>
      <c r="AU29" s="11">
        <v>4.5300000000000002E-3</v>
      </c>
      <c r="AV29" s="11">
        <v>4.9199999999999999E-3</v>
      </c>
      <c r="AW29" s="11">
        <v>5.3499999999999997E-3</v>
      </c>
      <c r="AX29" s="11">
        <v>5.8300000000000001E-3</v>
      </c>
      <c r="AY29" s="11">
        <v>6.3600000000000002E-3</v>
      </c>
      <c r="AZ29" s="11">
        <v>6.9499999999999996E-3</v>
      </c>
      <c r="BA29" s="11">
        <v>7.6E-3</v>
      </c>
      <c r="BB29" s="11">
        <v>8.3199999999999993E-3</v>
      </c>
      <c r="BC29" s="11">
        <v>9.11E-3</v>
      </c>
      <c r="BD29" s="11">
        <v>9.9600000000000001E-3</v>
      </c>
      <c r="BE29" s="11">
        <v>1.089E-2</v>
      </c>
      <c r="BF29" s="11">
        <v>1.1900000000000001E-2</v>
      </c>
      <c r="BG29" s="11">
        <v>1.2999999999999999E-2</v>
      </c>
      <c r="BH29" s="11">
        <v>1.421E-2</v>
      </c>
      <c r="BI29" s="11">
        <v>1.554E-2</v>
      </c>
      <c r="BJ29" s="11">
        <v>1.7000000000000001E-2</v>
      </c>
      <c r="BK29" s="11">
        <v>1.8589999999999999E-2</v>
      </c>
      <c r="BL29" s="11">
        <v>2.034E-2</v>
      </c>
      <c r="BM29" s="11">
        <v>2.2239999999999999E-2</v>
      </c>
      <c r="BN29" s="11">
        <v>2.4309999999999998E-2</v>
      </c>
      <c r="BO29" s="11">
        <v>2.657E-2</v>
      </c>
      <c r="BP29" s="11">
        <v>2.904E-2</v>
      </c>
      <c r="BQ29" s="11">
        <v>3.175E-2</v>
      </c>
      <c r="BR29" s="11">
        <v>3.474E-2</v>
      </c>
      <c r="BS29" s="11">
        <v>3.8039999999999997E-2</v>
      </c>
      <c r="BT29" s="11">
        <v>4.1680000000000002E-2</v>
      </c>
      <c r="BU29" s="11">
        <v>4.5609999999999998E-2</v>
      </c>
      <c r="BV29" s="11">
        <v>4.9790000000000001E-2</v>
      </c>
      <c r="BW29" s="11">
        <v>5.4149999999999997E-2</v>
      </c>
      <c r="BX29" s="11">
        <v>5.8650000000000001E-2</v>
      </c>
      <c r="BY29" s="11">
        <v>6.3259999999999997E-2</v>
      </c>
      <c r="BZ29" s="11">
        <v>6.812E-2</v>
      </c>
      <c r="CA29" s="11">
        <v>7.3370000000000005E-2</v>
      </c>
      <c r="CB29" s="11">
        <v>7.918E-2</v>
      </c>
      <c r="CC29" s="11">
        <v>8.5699999999999998E-2</v>
      </c>
      <c r="CD29" s="11">
        <v>9.3060000000000004E-2</v>
      </c>
      <c r="CE29" s="11">
        <v>0.10119</v>
      </c>
      <c r="CF29" s="11">
        <v>0.10997999999999999</v>
      </c>
      <c r="CG29" s="11">
        <v>0.11935</v>
      </c>
      <c r="CH29" s="11">
        <v>0.12917000000000001</v>
      </c>
      <c r="CI29" s="11">
        <v>0.13938</v>
      </c>
      <c r="CJ29" s="11">
        <v>0.15001</v>
      </c>
      <c r="CK29" s="11">
        <v>0.16114000000000001</v>
      </c>
      <c r="CL29" s="11">
        <v>0.17282</v>
      </c>
      <c r="CM29" s="11">
        <v>0.18512999999999999</v>
      </c>
      <c r="CN29" s="11">
        <v>0.19825000000000001</v>
      </c>
      <c r="CO29" s="11">
        <v>0.21246000000000001</v>
      </c>
      <c r="CP29" s="11">
        <v>0.22814000000000001</v>
      </c>
      <c r="CQ29" s="11">
        <v>0.24576999999999999</v>
      </c>
      <c r="CR29" s="11">
        <v>0.26593</v>
      </c>
      <c r="CS29" s="11">
        <v>0.2893</v>
      </c>
      <c r="CT29" s="11">
        <v>0.31666</v>
      </c>
      <c r="CU29" s="11">
        <v>0.35124</v>
      </c>
      <c r="CV29" s="11">
        <v>0.40056000000000003</v>
      </c>
      <c r="CW29" s="11">
        <v>0.48842000000000002</v>
      </c>
      <c r="CX29" s="11">
        <v>0.66815000000000002</v>
      </c>
      <c r="CY29" s="11">
        <v>1</v>
      </c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</row>
    <row r="30" spans="1:130">
      <c r="A30" s="2" t="s">
        <v>204</v>
      </c>
      <c r="B30" s="4" t="s">
        <v>226</v>
      </c>
      <c r="C30" s="2"/>
      <c r="D30" s="11">
        <v>3.9420999999999996E-3</v>
      </c>
      <c r="E30" s="11">
        <v>1.5401E-3</v>
      </c>
      <c r="F30" s="11">
        <v>1.3801E-3</v>
      </c>
      <c r="G30" s="11">
        <v>1.32E-3</v>
      </c>
      <c r="H30" s="11">
        <v>1.2650000000000001E-3</v>
      </c>
      <c r="I30" s="11">
        <v>1.2149999999999999E-3</v>
      </c>
      <c r="J30" s="11">
        <v>1.17E-3</v>
      </c>
      <c r="K30" s="11">
        <v>1.1349999999999999E-3</v>
      </c>
      <c r="L30" s="11">
        <v>1.1150999999999999E-3</v>
      </c>
      <c r="M30" s="11">
        <v>1.1099E-3</v>
      </c>
      <c r="N30" s="11">
        <v>1.1150000000000001E-3</v>
      </c>
      <c r="O30" s="11">
        <v>1.1301E-3</v>
      </c>
      <c r="P30" s="11">
        <v>1.1548999999999999E-3</v>
      </c>
      <c r="Q30" s="11">
        <v>1.1900000000000001E-3</v>
      </c>
      <c r="R30" s="11">
        <v>1.235E-3</v>
      </c>
      <c r="S30" s="11">
        <v>1.2899999999999999E-3</v>
      </c>
      <c r="T30" s="11">
        <v>1.3550000000000001E-3</v>
      </c>
      <c r="U30" s="11">
        <v>1.4250000000000001E-3</v>
      </c>
      <c r="V30" s="11">
        <v>1.5E-3</v>
      </c>
      <c r="W30" s="11">
        <v>1.58E-3</v>
      </c>
      <c r="X30" s="11">
        <v>1.6548999999999999E-3</v>
      </c>
      <c r="Y30" s="11">
        <v>1.7149999999999999E-3</v>
      </c>
      <c r="Z30" s="11">
        <v>1.7649E-3</v>
      </c>
      <c r="AA30" s="11">
        <v>1.81E-3</v>
      </c>
      <c r="AB30" s="11">
        <v>1.8449E-3</v>
      </c>
      <c r="AC30" s="11">
        <v>1.8749000000000001E-3</v>
      </c>
      <c r="AD30" s="11">
        <v>1.9E-3</v>
      </c>
      <c r="AE30" s="11">
        <v>1.9199E-3</v>
      </c>
      <c r="AF30" s="11">
        <v>1.9449999999999999E-3</v>
      </c>
      <c r="AG30" s="11">
        <v>1.9750000000000002E-3</v>
      </c>
      <c r="AH30" s="11">
        <v>2.0098999999999998E-3</v>
      </c>
      <c r="AI30" s="11">
        <v>2.0549000000000001E-3</v>
      </c>
      <c r="AJ30" s="11">
        <v>2.1048999999999998E-3</v>
      </c>
      <c r="AK30" s="11">
        <v>2.16E-3</v>
      </c>
      <c r="AL30" s="11">
        <v>2.2198999999999999E-3</v>
      </c>
      <c r="AM30" s="11">
        <v>2.2850000000000001E-3</v>
      </c>
      <c r="AN30" s="11">
        <v>2.3600000000000001E-3</v>
      </c>
      <c r="AO30" s="11">
        <v>2.4548999999999999E-3</v>
      </c>
      <c r="AP30" s="11">
        <v>2.575E-3</v>
      </c>
      <c r="AQ30" s="11">
        <v>2.7198999999999999E-3</v>
      </c>
      <c r="AR30" s="11">
        <v>2.9049000000000002E-3</v>
      </c>
      <c r="AS30" s="11">
        <v>3.1297E-3</v>
      </c>
      <c r="AT30" s="11">
        <v>3.3898000000000001E-3</v>
      </c>
      <c r="AU30" s="11">
        <v>3.6847999999999998E-3</v>
      </c>
      <c r="AV30" s="11">
        <v>4.0048000000000002E-3</v>
      </c>
      <c r="AW30" s="11">
        <v>4.3496000000000003E-3</v>
      </c>
      <c r="AX30" s="11">
        <v>4.7245000000000004E-3</v>
      </c>
      <c r="AY30" s="11">
        <v>5.1345000000000002E-3</v>
      </c>
      <c r="AZ30" s="11">
        <v>5.5893999999999996E-3</v>
      </c>
      <c r="BA30" s="11">
        <v>6.0940999999999999E-3</v>
      </c>
      <c r="BB30" s="11">
        <v>6.6540999999999996E-3</v>
      </c>
      <c r="BC30" s="11">
        <v>7.2738999999999998E-3</v>
      </c>
      <c r="BD30" s="11">
        <v>7.9585999999999997E-3</v>
      </c>
      <c r="BE30" s="11">
        <v>8.7133000000000002E-3</v>
      </c>
      <c r="BF30" s="11">
        <v>9.5329999999999998E-3</v>
      </c>
      <c r="BG30" s="11">
        <v>1.04227E-2</v>
      </c>
      <c r="BH30" s="11">
        <v>1.13922E-2</v>
      </c>
      <c r="BI30" s="11">
        <v>1.24467E-2</v>
      </c>
      <c r="BJ30" s="11">
        <v>1.3601E-2</v>
      </c>
      <c r="BK30" s="11">
        <v>1.4870299999999999E-2</v>
      </c>
      <c r="BL30" s="11">
        <v>1.6264199999999999E-2</v>
      </c>
      <c r="BM30" s="11">
        <v>1.7788200000000001E-2</v>
      </c>
      <c r="BN30" s="11">
        <v>1.94568E-2</v>
      </c>
      <c r="BO30" s="11">
        <v>2.1280199999999999E-2</v>
      </c>
      <c r="BP30" s="11">
        <v>2.32634E-2</v>
      </c>
      <c r="BQ30" s="11">
        <v>2.5426000000000001E-2</v>
      </c>
      <c r="BR30" s="11">
        <v>2.7788400000000001E-2</v>
      </c>
      <c r="BS30" s="11">
        <v>3.0375099999999999E-2</v>
      </c>
      <c r="BT30" s="11">
        <v>3.3220699999999999E-2</v>
      </c>
      <c r="BU30" s="11">
        <v>3.6360900000000002E-2</v>
      </c>
      <c r="BV30" s="11">
        <v>3.9824699999999998E-2</v>
      </c>
      <c r="BW30" s="11">
        <v>4.3603200000000002E-2</v>
      </c>
      <c r="BX30" s="11">
        <v>4.7651199999999998E-2</v>
      </c>
      <c r="BY30" s="11">
        <v>5.1914399999999999E-2</v>
      </c>
      <c r="BZ30" s="11">
        <v>5.63373E-2</v>
      </c>
      <c r="CA30" s="11">
        <v>6.0885500000000002E-2</v>
      </c>
      <c r="CB30" s="11">
        <v>6.5610500000000002E-2</v>
      </c>
      <c r="CC30" s="11">
        <v>7.0652499999999993E-2</v>
      </c>
      <c r="CD30" s="11">
        <v>7.6164300000000004E-2</v>
      </c>
      <c r="CE30" s="11">
        <v>8.2305900000000001E-2</v>
      </c>
      <c r="CF30" s="11">
        <v>8.9215100000000006E-2</v>
      </c>
      <c r="CG30" s="11">
        <v>9.6926700000000005E-2</v>
      </c>
      <c r="CH30" s="11">
        <v>0.1053509</v>
      </c>
      <c r="CI30" s="11">
        <v>0.11439240000000001</v>
      </c>
      <c r="CJ30" s="11">
        <v>0.12394810000000001</v>
      </c>
      <c r="CK30" s="11">
        <v>0.1339226</v>
      </c>
      <c r="CL30" s="11">
        <v>0.14429729999999999</v>
      </c>
      <c r="CM30" s="11">
        <v>0.15512409999999999</v>
      </c>
      <c r="CN30" s="11">
        <v>0.1664679</v>
      </c>
      <c r="CO30" s="11">
        <v>0.1783921</v>
      </c>
      <c r="CP30" s="11">
        <v>0.19102050000000001</v>
      </c>
      <c r="CQ30" s="11">
        <v>0.20457320000000001</v>
      </c>
      <c r="CR30" s="11">
        <v>0.21936810000000001</v>
      </c>
      <c r="CS30" s="11">
        <v>0.23582230000000001</v>
      </c>
      <c r="CT30" s="11">
        <v>0.25443749999999998</v>
      </c>
      <c r="CU30" s="11">
        <v>0.27582180000000001</v>
      </c>
      <c r="CV30" s="11">
        <v>0.30066850000000001</v>
      </c>
      <c r="CW30" s="11">
        <v>0.33069569999999998</v>
      </c>
      <c r="CX30" s="11">
        <v>0.37064459999999999</v>
      </c>
      <c r="CY30" s="11">
        <v>0.43348809999999999</v>
      </c>
      <c r="CZ30" s="11">
        <v>0.54924890000000004</v>
      </c>
      <c r="DA30" s="11">
        <v>0.75079620000000002</v>
      </c>
      <c r="DB30" s="11">
        <v>1</v>
      </c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</row>
    <row r="31" spans="1:130">
      <c r="A31" s="2" t="s">
        <v>204</v>
      </c>
      <c r="B31" s="4" t="s">
        <v>227</v>
      </c>
      <c r="C31" s="2"/>
      <c r="D31" s="11">
        <v>6.1999999999999998E-3</v>
      </c>
      <c r="E31" s="11">
        <v>1.67E-3</v>
      </c>
      <c r="F31" s="11">
        <v>1.41E-3</v>
      </c>
      <c r="G31" s="11">
        <v>1.3500000000000001E-3</v>
      </c>
      <c r="H31" s="11">
        <v>1.2899999999999999E-3</v>
      </c>
      <c r="I31" s="11">
        <v>1.24E-3</v>
      </c>
      <c r="J31" s="11">
        <v>1.1900000000000001E-3</v>
      </c>
      <c r="K31" s="11">
        <v>1.15E-3</v>
      </c>
      <c r="L31" s="11">
        <v>1.1199999999999999E-3</v>
      </c>
      <c r="M31" s="11">
        <v>1.1100000000000001E-3</v>
      </c>
      <c r="N31" s="11">
        <v>1.1100000000000001E-3</v>
      </c>
      <c r="O31" s="11">
        <v>1.1199999999999999E-3</v>
      </c>
      <c r="P31" s="11">
        <v>1.14E-3</v>
      </c>
      <c r="Q31" s="11">
        <v>1.17E-3</v>
      </c>
      <c r="R31" s="11">
        <v>1.2099999999999999E-3</v>
      </c>
      <c r="S31" s="11">
        <v>1.2600000000000001E-3</v>
      </c>
      <c r="T31" s="11">
        <v>1.32E-3</v>
      </c>
      <c r="U31" s="11">
        <v>1.39E-3</v>
      </c>
      <c r="V31" s="11">
        <v>1.4599999999999999E-3</v>
      </c>
      <c r="W31" s="11">
        <v>1.5399999999999999E-3</v>
      </c>
      <c r="X31" s="11">
        <v>1.6199999999999999E-3</v>
      </c>
      <c r="Y31" s="11">
        <v>1.6900000000000001E-3</v>
      </c>
      <c r="Z31" s="11">
        <v>1.74E-3</v>
      </c>
      <c r="AA31" s="11">
        <v>1.7899999999999999E-3</v>
      </c>
      <c r="AB31" s="11">
        <v>1.83E-3</v>
      </c>
      <c r="AC31" s="11">
        <v>1.8600000000000001E-3</v>
      </c>
      <c r="AD31" s="11">
        <v>1.89E-3</v>
      </c>
      <c r="AE31" s="11">
        <v>1.91E-3</v>
      </c>
      <c r="AF31" s="11">
        <v>1.9300000000000001E-3</v>
      </c>
      <c r="AG31" s="11">
        <v>1.9599999999999999E-3</v>
      </c>
      <c r="AH31" s="11">
        <v>1.99E-3</v>
      </c>
      <c r="AI31" s="11">
        <v>2.0300000000000001E-3</v>
      </c>
      <c r="AJ31" s="11">
        <v>2.0799999999999998E-3</v>
      </c>
      <c r="AK31" s="11">
        <v>2.1299999999999999E-3</v>
      </c>
      <c r="AL31" s="11">
        <v>2.1900000000000001E-3</v>
      </c>
      <c r="AM31" s="11">
        <v>2.2499999999999998E-3</v>
      </c>
      <c r="AN31" s="11">
        <v>2.32E-3</v>
      </c>
      <c r="AO31" s="11">
        <v>2.3999999999999998E-3</v>
      </c>
      <c r="AP31" s="11">
        <v>2.5100000000000001E-3</v>
      </c>
      <c r="AQ31" s="11">
        <v>2.64E-3</v>
      </c>
      <c r="AR31" s="11">
        <v>2.8E-3</v>
      </c>
      <c r="AS31" s="11">
        <v>3.0100000000000001E-3</v>
      </c>
      <c r="AT31" s="11">
        <v>3.2499999999999999E-3</v>
      </c>
      <c r="AU31" s="11">
        <v>3.5300000000000002E-3</v>
      </c>
      <c r="AV31" s="11">
        <v>3.8400000000000001E-3</v>
      </c>
      <c r="AW31" s="11">
        <v>4.1700000000000001E-3</v>
      </c>
      <c r="AX31" s="11">
        <v>4.5300000000000002E-3</v>
      </c>
      <c r="AY31" s="11">
        <v>4.9199999999999999E-3</v>
      </c>
      <c r="AZ31" s="11">
        <v>5.3499999999999997E-3</v>
      </c>
      <c r="BA31" s="11">
        <v>5.8300000000000001E-3</v>
      </c>
      <c r="BB31" s="11">
        <v>6.3600000000000002E-3</v>
      </c>
      <c r="BC31" s="11">
        <v>6.9499999999999996E-3</v>
      </c>
      <c r="BD31" s="11">
        <v>7.6E-3</v>
      </c>
      <c r="BE31" s="11">
        <v>8.3199999999999993E-3</v>
      </c>
      <c r="BF31" s="11">
        <v>9.11E-3</v>
      </c>
      <c r="BG31" s="11">
        <v>9.9600000000000001E-3</v>
      </c>
      <c r="BH31" s="11">
        <v>1.089E-2</v>
      </c>
      <c r="BI31" s="11">
        <v>1.1900000000000001E-2</v>
      </c>
      <c r="BJ31" s="11">
        <v>1.2999999999999999E-2</v>
      </c>
      <c r="BK31" s="11">
        <v>1.421E-2</v>
      </c>
      <c r="BL31" s="11">
        <v>1.554E-2</v>
      </c>
      <c r="BM31" s="11">
        <v>1.7000000000000001E-2</v>
      </c>
      <c r="BN31" s="11">
        <v>1.8589999999999999E-2</v>
      </c>
      <c r="BO31" s="11">
        <v>2.034E-2</v>
      </c>
      <c r="BP31" s="11">
        <v>2.2239999999999999E-2</v>
      </c>
      <c r="BQ31" s="11">
        <v>2.4309999999999998E-2</v>
      </c>
      <c r="BR31" s="11">
        <v>2.657E-2</v>
      </c>
      <c r="BS31" s="11">
        <v>2.904E-2</v>
      </c>
      <c r="BT31" s="11">
        <v>3.175E-2</v>
      </c>
      <c r="BU31" s="11">
        <v>3.474E-2</v>
      </c>
      <c r="BV31" s="11">
        <v>3.8039999999999997E-2</v>
      </c>
      <c r="BW31" s="11">
        <v>4.1680000000000002E-2</v>
      </c>
      <c r="BX31" s="11">
        <v>4.5609999999999998E-2</v>
      </c>
      <c r="BY31" s="11">
        <v>4.9790000000000001E-2</v>
      </c>
      <c r="BZ31" s="11">
        <v>5.4149999999999997E-2</v>
      </c>
      <c r="CA31" s="11">
        <v>5.8650000000000001E-2</v>
      </c>
      <c r="CB31" s="11">
        <v>6.3259999999999997E-2</v>
      </c>
      <c r="CC31" s="11">
        <v>6.812E-2</v>
      </c>
      <c r="CD31" s="11">
        <v>7.3370000000000005E-2</v>
      </c>
      <c r="CE31" s="11">
        <v>7.918E-2</v>
      </c>
      <c r="CF31" s="11">
        <v>8.5699999999999998E-2</v>
      </c>
      <c r="CG31" s="11">
        <v>9.3060000000000004E-2</v>
      </c>
      <c r="CH31" s="11">
        <v>0.10119</v>
      </c>
      <c r="CI31" s="11">
        <v>0.10997999999999999</v>
      </c>
      <c r="CJ31" s="11">
        <v>0.11935</v>
      </c>
      <c r="CK31" s="11">
        <v>0.12917000000000001</v>
      </c>
      <c r="CL31" s="11">
        <v>0.13938</v>
      </c>
      <c r="CM31" s="11">
        <v>0.15001</v>
      </c>
      <c r="CN31" s="11">
        <v>0.16114000000000001</v>
      </c>
      <c r="CO31" s="11">
        <v>0.17282</v>
      </c>
      <c r="CP31" s="11">
        <v>0.18512999999999999</v>
      </c>
      <c r="CQ31" s="11">
        <v>0.19825000000000001</v>
      </c>
      <c r="CR31" s="11">
        <v>0.21246000000000001</v>
      </c>
      <c r="CS31" s="11">
        <v>0.22814000000000001</v>
      </c>
      <c r="CT31" s="11">
        <v>0.24576999999999999</v>
      </c>
      <c r="CU31" s="11">
        <v>0.26593</v>
      </c>
      <c r="CV31" s="11">
        <v>0.2893</v>
      </c>
      <c r="CW31" s="11">
        <v>0.31666</v>
      </c>
      <c r="CX31" s="11">
        <v>0.35124</v>
      </c>
      <c r="CY31" s="11">
        <v>0.40056000000000003</v>
      </c>
      <c r="CZ31" s="11">
        <v>0.48842000000000002</v>
      </c>
      <c r="DA31" s="11">
        <v>0.66815000000000002</v>
      </c>
      <c r="DB31" s="11">
        <v>1</v>
      </c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</row>
    <row r="32" spans="1:130">
      <c r="A32" s="2" t="s">
        <v>204</v>
      </c>
      <c r="B32" s="4" t="s">
        <v>228</v>
      </c>
      <c r="C32" s="2"/>
      <c r="D32" s="11">
        <v>4.4295000000000003E-3</v>
      </c>
      <c r="E32" s="11">
        <v>1.64E-3</v>
      </c>
      <c r="F32" s="11">
        <v>1.4901000000000001E-3</v>
      </c>
      <c r="G32" s="11">
        <v>1.4300000000000001E-3</v>
      </c>
      <c r="H32" s="11">
        <v>1.3749000000000001E-3</v>
      </c>
      <c r="I32" s="11">
        <v>1.325E-3</v>
      </c>
      <c r="J32" s="11">
        <v>1.2800999999999999E-3</v>
      </c>
      <c r="K32" s="11">
        <v>1.245E-3</v>
      </c>
      <c r="L32" s="11">
        <v>1.2199000000000001E-3</v>
      </c>
      <c r="M32" s="11">
        <v>1.2099999999999999E-3</v>
      </c>
      <c r="N32" s="11">
        <v>1.2199999999999999E-3</v>
      </c>
      <c r="O32" s="11">
        <v>1.245E-3</v>
      </c>
      <c r="P32" s="11">
        <v>1.2899999999999999E-3</v>
      </c>
      <c r="Q32" s="11">
        <v>1.3550000000000001E-3</v>
      </c>
      <c r="R32" s="11">
        <v>1.4250000000000001E-3</v>
      </c>
      <c r="S32" s="11">
        <v>1.5E-3</v>
      </c>
      <c r="T32" s="11">
        <v>1.58E-3</v>
      </c>
      <c r="U32" s="11">
        <v>1.6548999999999999E-3</v>
      </c>
      <c r="V32" s="11">
        <v>1.7149999999999999E-3</v>
      </c>
      <c r="W32" s="11">
        <v>1.7649E-3</v>
      </c>
      <c r="X32" s="11">
        <v>1.81E-3</v>
      </c>
      <c r="Y32" s="11">
        <v>1.8449E-3</v>
      </c>
      <c r="Z32" s="11">
        <v>1.8749000000000001E-3</v>
      </c>
      <c r="AA32" s="11">
        <v>1.9E-3</v>
      </c>
      <c r="AB32" s="11">
        <v>1.9199E-3</v>
      </c>
      <c r="AC32" s="11">
        <v>1.9449999999999999E-3</v>
      </c>
      <c r="AD32" s="11">
        <v>1.9750000000000002E-3</v>
      </c>
      <c r="AE32" s="11">
        <v>2.0098999999999998E-3</v>
      </c>
      <c r="AF32" s="11">
        <v>2.0549000000000001E-3</v>
      </c>
      <c r="AG32" s="11">
        <v>2.1048999999999998E-3</v>
      </c>
      <c r="AH32" s="11">
        <v>2.16E-3</v>
      </c>
      <c r="AI32" s="11">
        <v>2.2198999999999999E-3</v>
      </c>
      <c r="AJ32" s="11">
        <v>2.2850000000000001E-3</v>
      </c>
      <c r="AK32" s="11">
        <v>2.3600000000000001E-3</v>
      </c>
      <c r="AL32" s="11">
        <v>2.4548999999999999E-3</v>
      </c>
      <c r="AM32" s="11">
        <v>2.575E-3</v>
      </c>
      <c r="AN32" s="11">
        <v>2.7198999999999999E-3</v>
      </c>
      <c r="AO32" s="11">
        <v>2.9049000000000002E-3</v>
      </c>
      <c r="AP32" s="11">
        <v>3.1297E-3</v>
      </c>
      <c r="AQ32" s="11">
        <v>3.3898000000000001E-3</v>
      </c>
      <c r="AR32" s="11">
        <v>3.6847999999999998E-3</v>
      </c>
      <c r="AS32" s="11">
        <v>4.0048000000000002E-3</v>
      </c>
      <c r="AT32" s="11">
        <v>4.3496000000000003E-3</v>
      </c>
      <c r="AU32" s="11">
        <v>4.7245000000000004E-3</v>
      </c>
      <c r="AV32" s="11">
        <v>5.1345000000000002E-3</v>
      </c>
      <c r="AW32" s="11">
        <v>5.5893999999999996E-3</v>
      </c>
      <c r="AX32" s="11">
        <v>6.0940999999999999E-3</v>
      </c>
      <c r="AY32" s="11">
        <v>6.6540999999999996E-3</v>
      </c>
      <c r="AZ32" s="11">
        <v>7.2738999999999998E-3</v>
      </c>
      <c r="BA32" s="11">
        <v>7.9585999999999997E-3</v>
      </c>
      <c r="BB32" s="11">
        <v>8.7133000000000002E-3</v>
      </c>
      <c r="BC32" s="11">
        <v>9.5329999999999998E-3</v>
      </c>
      <c r="BD32" s="11">
        <v>1.04227E-2</v>
      </c>
      <c r="BE32" s="11">
        <v>1.13922E-2</v>
      </c>
      <c r="BF32" s="11">
        <v>1.24467E-2</v>
      </c>
      <c r="BG32" s="11">
        <v>1.3601E-2</v>
      </c>
      <c r="BH32" s="11">
        <v>1.4870299999999999E-2</v>
      </c>
      <c r="BI32" s="11">
        <v>1.6264199999999999E-2</v>
      </c>
      <c r="BJ32" s="11">
        <v>1.7788200000000001E-2</v>
      </c>
      <c r="BK32" s="11">
        <v>1.94568E-2</v>
      </c>
      <c r="BL32" s="11">
        <v>2.1280199999999999E-2</v>
      </c>
      <c r="BM32" s="11">
        <v>2.32634E-2</v>
      </c>
      <c r="BN32" s="11">
        <v>2.5426000000000001E-2</v>
      </c>
      <c r="BO32" s="11">
        <v>2.7788400000000001E-2</v>
      </c>
      <c r="BP32" s="11">
        <v>3.0375099999999999E-2</v>
      </c>
      <c r="BQ32" s="11">
        <v>3.3220699999999999E-2</v>
      </c>
      <c r="BR32" s="11">
        <v>3.6360900000000002E-2</v>
      </c>
      <c r="BS32" s="11">
        <v>3.9824699999999998E-2</v>
      </c>
      <c r="BT32" s="11">
        <v>4.3603200000000002E-2</v>
      </c>
      <c r="BU32" s="11">
        <v>4.7651199999999998E-2</v>
      </c>
      <c r="BV32" s="11">
        <v>5.1914399999999999E-2</v>
      </c>
      <c r="BW32" s="11">
        <v>5.63373E-2</v>
      </c>
      <c r="BX32" s="11">
        <v>6.0885500000000002E-2</v>
      </c>
      <c r="BY32" s="11">
        <v>6.5610500000000002E-2</v>
      </c>
      <c r="BZ32" s="11">
        <v>7.0652499999999993E-2</v>
      </c>
      <c r="CA32" s="11">
        <v>7.6164300000000004E-2</v>
      </c>
      <c r="CB32" s="11">
        <v>8.2305900000000001E-2</v>
      </c>
      <c r="CC32" s="11">
        <v>8.9215100000000006E-2</v>
      </c>
      <c r="CD32" s="11">
        <v>9.6926700000000005E-2</v>
      </c>
      <c r="CE32" s="11">
        <v>0.1053509</v>
      </c>
      <c r="CF32" s="11">
        <v>0.11439240000000001</v>
      </c>
      <c r="CG32" s="11">
        <v>0.12394810000000001</v>
      </c>
      <c r="CH32" s="11">
        <v>0.1339226</v>
      </c>
      <c r="CI32" s="11">
        <v>0.14429729999999999</v>
      </c>
      <c r="CJ32" s="11">
        <v>0.15512409999999999</v>
      </c>
      <c r="CK32" s="11">
        <v>0.1664679</v>
      </c>
      <c r="CL32" s="11">
        <v>0.1783921</v>
      </c>
      <c r="CM32" s="11">
        <v>0.19102050000000001</v>
      </c>
      <c r="CN32" s="11">
        <v>0.20457320000000001</v>
      </c>
      <c r="CO32" s="11">
        <v>0.21936810000000001</v>
      </c>
      <c r="CP32" s="11">
        <v>0.23582230000000001</v>
      </c>
      <c r="CQ32" s="11">
        <v>0.25443749999999998</v>
      </c>
      <c r="CR32" s="11">
        <v>0.27582180000000001</v>
      </c>
      <c r="CS32" s="11">
        <v>0.30066850000000001</v>
      </c>
      <c r="CT32" s="11">
        <v>0.33069569999999998</v>
      </c>
      <c r="CU32" s="11">
        <v>0.37064459999999999</v>
      </c>
      <c r="CV32" s="11">
        <v>0.43348809999999999</v>
      </c>
      <c r="CW32" s="11">
        <v>0.54924890000000004</v>
      </c>
      <c r="CX32" s="11">
        <v>0.75079620000000002</v>
      </c>
      <c r="CY32" s="11">
        <v>1</v>
      </c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</row>
    <row r="33" spans="1:130">
      <c r="A33" s="2" t="s">
        <v>204</v>
      </c>
      <c r="B33" s="4" t="s">
        <v>216</v>
      </c>
      <c r="C33" s="2"/>
      <c r="D33" s="11">
        <v>7.0800000000000004E-3</v>
      </c>
      <c r="E33" s="11">
        <v>1.7600000000000001E-3</v>
      </c>
      <c r="F33" s="11">
        <v>1.5200000000000001E-3</v>
      </c>
      <c r="G33" s="11">
        <v>1.4599999999999999E-3</v>
      </c>
      <c r="H33" s="11">
        <v>1.4E-3</v>
      </c>
      <c r="I33" s="11">
        <v>1.3500000000000001E-3</v>
      </c>
      <c r="J33" s="11">
        <v>1.2999999999999999E-3</v>
      </c>
      <c r="K33" s="11">
        <v>1.2600000000000001E-3</v>
      </c>
      <c r="L33" s="11">
        <v>1.23E-3</v>
      </c>
      <c r="M33" s="11">
        <v>1.2099999999999999E-3</v>
      </c>
      <c r="N33" s="11">
        <v>1.2099999999999999E-3</v>
      </c>
      <c r="O33" s="11">
        <v>1.23E-3</v>
      </c>
      <c r="P33" s="11">
        <v>1.2600000000000001E-3</v>
      </c>
      <c r="Q33" s="11">
        <v>1.32E-3</v>
      </c>
      <c r="R33" s="11">
        <v>1.39E-3</v>
      </c>
      <c r="S33" s="11">
        <v>1.4599999999999999E-3</v>
      </c>
      <c r="T33" s="11">
        <v>1.5399999999999999E-3</v>
      </c>
      <c r="U33" s="11">
        <v>1.6199999999999999E-3</v>
      </c>
      <c r="V33" s="11">
        <v>1.6900000000000001E-3</v>
      </c>
      <c r="W33" s="11">
        <v>1.74E-3</v>
      </c>
      <c r="X33" s="11">
        <v>1.7899999999999999E-3</v>
      </c>
      <c r="Y33" s="11">
        <v>1.83E-3</v>
      </c>
      <c r="Z33" s="11">
        <v>1.8600000000000001E-3</v>
      </c>
      <c r="AA33" s="11">
        <v>1.89E-3</v>
      </c>
      <c r="AB33" s="11">
        <v>1.91E-3</v>
      </c>
      <c r="AC33" s="11">
        <v>1.9300000000000001E-3</v>
      </c>
      <c r="AD33" s="11">
        <v>1.9599999999999999E-3</v>
      </c>
      <c r="AE33" s="11">
        <v>1.99E-3</v>
      </c>
      <c r="AF33" s="11">
        <v>2.0300000000000001E-3</v>
      </c>
      <c r="AG33" s="11">
        <v>2.0799999999999998E-3</v>
      </c>
      <c r="AH33" s="11">
        <v>2.1299999999999999E-3</v>
      </c>
      <c r="AI33" s="11">
        <v>2.1900000000000001E-3</v>
      </c>
      <c r="AJ33" s="11">
        <v>2.2499999999999998E-3</v>
      </c>
      <c r="AK33" s="11">
        <v>2.32E-3</v>
      </c>
      <c r="AL33" s="11">
        <v>2.3999999999999998E-3</v>
      </c>
      <c r="AM33" s="11">
        <v>2.5100000000000001E-3</v>
      </c>
      <c r="AN33" s="11">
        <v>2.64E-3</v>
      </c>
      <c r="AO33" s="11">
        <v>2.8E-3</v>
      </c>
      <c r="AP33" s="11">
        <v>3.0100000000000001E-3</v>
      </c>
      <c r="AQ33" s="11">
        <v>3.2499999999999999E-3</v>
      </c>
      <c r="AR33" s="11">
        <v>3.5300000000000002E-3</v>
      </c>
      <c r="AS33" s="11">
        <v>3.8400000000000001E-3</v>
      </c>
      <c r="AT33" s="11">
        <v>4.1700000000000001E-3</v>
      </c>
      <c r="AU33" s="11">
        <v>4.5300000000000002E-3</v>
      </c>
      <c r="AV33" s="11">
        <v>4.9199999999999999E-3</v>
      </c>
      <c r="AW33" s="11">
        <v>5.3499999999999997E-3</v>
      </c>
      <c r="AX33" s="11">
        <v>5.8300000000000001E-3</v>
      </c>
      <c r="AY33" s="11">
        <v>6.3600000000000002E-3</v>
      </c>
      <c r="AZ33" s="11">
        <v>6.9499999999999996E-3</v>
      </c>
      <c r="BA33" s="11">
        <v>7.6E-3</v>
      </c>
      <c r="BB33" s="11">
        <v>8.3199999999999993E-3</v>
      </c>
      <c r="BC33" s="11">
        <v>9.11E-3</v>
      </c>
      <c r="BD33" s="11">
        <v>9.9600000000000001E-3</v>
      </c>
      <c r="BE33" s="11">
        <v>1.089E-2</v>
      </c>
      <c r="BF33" s="11">
        <v>1.1900000000000001E-2</v>
      </c>
      <c r="BG33" s="11">
        <v>1.2999999999999999E-2</v>
      </c>
      <c r="BH33" s="11">
        <v>1.421E-2</v>
      </c>
      <c r="BI33" s="11">
        <v>1.554E-2</v>
      </c>
      <c r="BJ33" s="11">
        <v>1.7000000000000001E-2</v>
      </c>
      <c r="BK33" s="11">
        <v>1.8589999999999999E-2</v>
      </c>
      <c r="BL33" s="11">
        <v>2.034E-2</v>
      </c>
      <c r="BM33" s="11">
        <v>2.2239999999999999E-2</v>
      </c>
      <c r="BN33" s="11">
        <v>2.4309999999999998E-2</v>
      </c>
      <c r="BO33" s="11">
        <v>2.657E-2</v>
      </c>
      <c r="BP33" s="11">
        <v>2.904E-2</v>
      </c>
      <c r="BQ33" s="11">
        <v>3.175E-2</v>
      </c>
      <c r="BR33" s="11">
        <v>3.474E-2</v>
      </c>
      <c r="BS33" s="11">
        <v>3.8039999999999997E-2</v>
      </c>
      <c r="BT33" s="11">
        <v>4.1680000000000002E-2</v>
      </c>
      <c r="BU33" s="11">
        <v>4.5609999999999998E-2</v>
      </c>
      <c r="BV33" s="11">
        <v>4.9790000000000001E-2</v>
      </c>
      <c r="BW33" s="11">
        <v>5.4149999999999997E-2</v>
      </c>
      <c r="BX33" s="11">
        <v>5.8650000000000001E-2</v>
      </c>
      <c r="BY33" s="11">
        <v>6.3259999999999997E-2</v>
      </c>
      <c r="BZ33" s="11">
        <v>6.812E-2</v>
      </c>
      <c r="CA33" s="11">
        <v>7.3370000000000005E-2</v>
      </c>
      <c r="CB33" s="11">
        <v>7.918E-2</v>
      </c>
      <c r="CC33" s="11">
        <v>8.5699999999999998E-2</v>
      </c>
      <c r="CD33" s="11">
        <v>9.3060000000000004E-2</v>
      </c>
      <c r="CE33" s="11">
        <v>0.10119</v>
      </c>
      <c r="CF33" s="11">
        <v>0.10997999999999999</v>
      </c>
      <c r="CG33" s="11">
        <v>0.11935</v>
      </c>
      <c r="CH33" s="11">
        <v>0.12917000000000001</v>
      </c>
      <c r="CI33" s="11">
        <v>0.13938</v>
      </c>
      <c r="CJ33" s="11">
        <v>0.15001</v>
      </c>
      <c r="CK33" s="11">
        <v>0.16114000000000001</v>
      </c>
      <c r="CL33" s="11">
        <v>0.17282</v>
      </c>
      <c r="CM33" s="11">
        <v>0.18512999999999999</v>
      </c>
      <c r="CN33" s="11">
        <v>0.19825000000000001</v>
      </c>
      <c r="CO33" s="11">
        <v>0.21246000000000001</v>
      </c>
      <c r="CP33" s="11">
        <v>0.22814000000000001</v>
      </c>
      <c r="CQ33" s="11">
        <v>0.24576999999999999</v>
      </c>
      <c r="CR33" s="11">
        <v>0.26593</v>
      </c>
      <c r="CS33" s="11">
        <v>0.2893</v>
      </c>
      <c r="CT33" s="11">
        <v>0.31666</v>
      </c>
      <c r="CU33" s="11">
        <v>0.35124</v>
      </c>
      <c r="CV33" s="11">
        <v>0.40056000000000003</v>
      </c>
      <c r="CW33" s="11">
        <v>0.48842000000000002</v>
      </c>
      <c r="CX33" s="11">
        <v>0.66815000000000002</v>
      </c>
      <c r="CY33" s="11">
        <v>1</v>
      </c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</row>
    <row r="34" spans="1:130">
      <c r="A34" s="2" t="s">
        <v>204</v>
      </c>
      <c r="B34" s="4" t="s">
        <v>223</v>
      </c>
      <c r="C34" s="2" t="s">
        <v>0</v>
      </c>
      <c r="D34" s="11">
        <v>5.4799999999999996E-3</v>
      </c>
      <c r="E34" s="11">
        <v>9.3999999999999997E-4</v>
      </c>
      <c r="F34" s="11">
        <v>6.7000000000000002E-4</v>
      </c>
      <c r="G34" s="11">
        <v>5.9999999999999995E-4</v>
      </c>
      <c r="H34" s="11">
        <v>5.2999999999999998E-4</v>
      </c>
      <c r="I34" s="11">
        <v>4.6999999999999999E-4</v>
      </c>
      <c r="J34" s="11">
        <v>4.0999999999999999E-4</v>
      </c>
      <c r="K34" s="11">
        <v>3.6000000000000002E-4</v>
      </c>
      <c r="L34" s="11">
        <v>3.2000000000000003E-4</v>
      </c>
      <c r="M34" s="11">
        <v>2.9999999999999997E-4</v>
      </c>
      <c r="N34" s="11">
        <v>2.9E-4</v>
      </c>
      <c r="O34" s="11">
        <v>2.9E-4</v>
      </c>
      <c r="P34" s="11">
        <v>2.9999999999999997E-4</v>
      </c>
      <c r="Q34" s="11">
        <v>3.2000000000000003E-4</v>
      </c>
      <c r="R34" s="11">
        <v>3.5E-4</v>
      </c>
      <c r="S34" s="11">
        <v>3.8999999999999999E-4</v>
      </c>
      <c r="T34" s="11">
        <v>4.4000000000000002E-4</v>
      </c>
      <c r="U34" s="11">
        <v>5.0000000000000001E-4</v>
      </c>
      <c r="V34" s="11">
        <v>5.5999999999999995E-4</v>
      </c>
      <c r="W34" s="11">
        <v>6.3000000000000003E-4</v>
      </c>
      <c r="X34" s="11">
        <v>6.9999999999999999E-4</v>
      </c>
      <c r="Y34" s="11">
        <v>7.6000000000000004E-4</v>
      </c>
      <c r="Z34" s="11">
        <v>8.0000000000000004E-4</v>
      </c>
      <c r="AA34" s="11">
        <v>8.4000000000000003E-4</v>
      </c>
      <c r="AB34" s="11">
        <v>8.7000000000000001E-4</v>
      </c>
      <c r="AC34" s="11">
        <v>8.8999999999999995E-4</v>
      </c>
      <c r="AD34" s="11">
        <v>9.1E-4</v>
      </c>
      <c r="AE34" s="11">
        <v>9.2000000000000003E-4</v>
      </c>
      <c r="AF34" s="11">
        <v>9.3000000000000005E-4</v>
      </c>
      <c r="AG34" s="11">
        <v>9.5E-4</v>
      </c>
      <c r="AH34" s="11">
        <v>9.7000000000000005E-4</v>
      </c>
      <c r="AI34" s="11">
        <v>1E-3</v>
      </c>
      <c r="AJ34" s="11">
        <v>1.0399999999999999E-3</v>
      </c>
      <c r="AK34" s="11">
        <v>1.08E-3</v>
      </c>
      <c r="AL34" s="11">
        <v>1.1299999999999999E-3</v>
      </c>
      <c r="AM34" s="11">
        <v>1.1800000000000001E-3</v>
      </c>
      <c r="AN34" s="11">
        <v>1.24E-3</v>
      </c>
      <c r="AO34" s="11">
        <v>1.31E-3</v>
      </c>
      <c r="AP34" s="11">
        <v>1.41E-3</v>
      </c>
      <c r="AQ34" s="11">
        <v>1.5299999999999999E-3</v>
      </c>
      <c r="AR34" s="11">
        <v>1.6800000000000001E-3</v>
      </c>
      <c r="AS34" s="11">
        <v>1.8799999999999999E-3</v>
      </c>
      <c r="AT34" s="11">
        <v>2.0999999999999999E-3</v>
      </c>
      <c r="AU34" s="11">
        <v>2.3600000000000001E-3</v>
      </c>
      <c r="AV34" s="11">
        <v>2.65E-3</v>
      </c>
      <c r="AW34" s="11">
        <v>2.9499999999999999E-3</v>
      </c>
      <c r="AX34" s="11">
        <v>3.2799999999999999E-3</v>
      </c>
      <c r="AY34" s="11">
        <v>3.64E-3</v>
      </c>
      <c r="AZ34" s="11">
        <v>4.0299999999999997E-3</v>
      </c>
      <c r="BA34" s="11">
        <v>4.4600000000000004E-3</v>
      </c>
      <c r="BB34" s="11">
        <v>4.9399999999999999E-3</v>
      </c>
      <c r="BC34" s="11">
        <v>5.47E-3</v>
      </c>
      <c r="BD34" s="11">
        <v>6.0600000000000003E-3</v>
      </c>
      <c r="BE34" s="11">
        <v>6.7099999999999998E-3</v>
      </c>
      <c r="BF34" s="11">
        <v>7.4200000000000004E-3</v>
      </c>
      <c r="BG34" s="11">
        <v>8.1899999999999994E-3</v>
      </c>
      <c r="BH34" s="11">
        <v>9.0299999999999998E-3</v>
      </c>
      <c r="BI34" s="11">
        <v>9.9399999999999992E-3</v>
      </c>
      <c r="BJ34" s="11">
        <v>1.093E-2</v>
      </c>
      <c r="BK34" s="11">
        <v>1.2019999999999999E-2</v>
      </c>
      <c r="BL34" s="11">
        <v>1.3220000000000001E-2</v>
      </c>
      <c r="BM34" s="11">
        <v>1.4540000000000001E-2</v>
      </c>
      <c r="BN34" s="11">
        <v>1.5980000000000001E-2</v>
      </c>
      <c r="BO34" s="11">
        <v>1.7559999999999999E-2</v>
      </c>
      <c r="BP34" s="11">
        <v>1.9259999999999999E-2</v>
      </c>
      <c r="BQ34" s="11">
        <v>2.1100000000000001E-2</v>
      </c>
      <c r="BR34" s="11">
        <v>2.3089999999999999E-2</v>
      </c>
      <c r="BS34" s="11">
        <v>2.5250000000000002E-2</v>
      </c>
      <c r="BT34" s="11">
        <v>2.7609999999999999E-2</v>
      </c>
      <c r="BU34" s="11">
        <v>3.0210000000000001E-2</v>
      </c>
      <c r="BV34" s="11">
        <v>3.3079999999999998E-2</v>
      </c>
      <c r="BW34" s="11">
        <v>3.6240000000000001E-2</v>
      </c>
      <c r="BX34" s="11">
        <v>3.9660000000000001E-2</v>
      </c>
      <c r="BY34" s="11">
        <v>4.3299999999999998E-2</v>
      </c>
      <c r="BZ34" s="11">
        <v>4.709E-2</v>
      </c>
      <c r="CA34" s="11">
        <v>5.0999999999999997E-2</v>
      </c>
      <c r="CB34" s="11">
        <v>5.5010000000000003E-2</v>
      </c>
      <c r="CC34" s="11">
        <v>5.9229999999999998E-2</v>
      </c>
      <c r="CD34" s="11">
        <v>6.3799999999999996E-2</v>
      </c>
      <c r="CE34" s="11">
        <v>6.8849999999999995E-2</v>
      </c>
      <c r="CF34" s="11">
        <v>7.4520000000000003E-2</v>
      </c>
      <c r="CG34" s="11">
        <v>8.0920000000000006E-2</v>
      </c>
      <c r="CH34" s="11">
        <v>8.7989999999999999E-2</v>
      </c>
      <c r="CI34" s="11">
        <v>9.5640000000000003E-2</v>
      </c>
      <c r="CJ34" s="11">
        <v>0.10378</v>
      </c>
      <c r="CK34" s="11">
        <v>0.11232</v>
      </c>
      <c r="CL34" s="11">
        <v>0.1212</v>
      </c>
      <c r="CM34" s="11">
        <v>0.13045000000000001</v>
      </c>
      <c r="CN34" s="11">
        <v>0.14011999999999999</v>
      </c>
      <c r="CO34" s="11">
        <v>0.15026999999999999</v>
      </c>
      <c r="CP34" s="11">
        <v>0.16098000000000001</v>
      </c>
      <c r="CQ34" s="11">
        <v>0.17238999999999999</v>
      </c>
      <c r="CR34" s="11">
        <v>0.18475</v>
      </c>
      <c r="CS34" s="11">
        <v>0.19838</v>
      </c>
      <c r="CT34" s="11">
        <v>0.21371000000000001</v>
      </c>
      <c r="CU34" s="11">
        <v>0.23124</v>
      </c>
      <c r="CV34" s="11">
        <v>0.25147000000000003</v>
      </c>
      <c r="CW34" s="11">
        <v>0.27489999999999998</v>
      </c>
      <c r="CX34" s="11">
        <v>0.30303000000000002</v>
      </c>
      <c r="CY34" s="11">
        <v>0.34336</v>
      </c>
      <c r="CZ34" s="11">
        <v>0.40978999999999999</v>
      </c>
      <c r="DA34" s="11">
        <v>0.52261999999999997</v>
      </c>
      <c r="DB34" s="11">
        <v>0.70855000000000001</v>
      </c>
      <c r="DC34" s="11">
        <v>1</v>
      </c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</row>
    <row r="35" spans="1:130">
      <c r="A35" s="2" t="s">
        <v>204</v>
      </c>
      <c r="B35" s="4" t="s">
        <v>224</v>
      </c>
      <c r="C35" s="2" t="s">
        <v>0</v>
      </c>
      <c r="D35" s="11">
        <v>6.3299999999999997E-3</v>
      </c>
      <c r="E35" s="11">
        <v>1E-3</v>
      </c>
      <c r="F35" s="11">
        <v>7.5000000000000002E-4</v>
      </c>
      <c r="G35" s="11">
        <v>6.8000000000000005E-4</v>
      </c>
      <c r="H35" s="11">
        <v>6.0999999999999997E-4</v>
      </c>
      <c r="I35" s="11">
        <v>5.5000000000000003E-4</v>
      </c>
      <c r="J35" s="11">
        <v>4.8999999999999998E-4</v>
      </c>
      <c r="K35" s="11">
        <v>4.4000000000000002E-4</v>
      </c>
      <c r="L35" s="11">
        <v>4.0000000000000002E-4</v>
      </c>
      <c r="M35" s="11">
        <v>3.6999999999999999E-4</v>
      </c>
      <c r="N35" s="11">
        <v>3.6000000000000002E-4</v>
      </c>
      <c r="O35" s="11">
        <v>3.6999999999999999E-4</v>
      </c>
      <c r="P35" s="11">
        <v>3.8999999999999999E-4</v>
      </c>
      <c r="Q35" s="11">
        <v>4.4000000000000002E-4</v>
      </c>
      <c r="R35" s="11">
        <v>5.0000000000000001E-4</v>
      </c>
      <c r="S35" s="11">
        <v>5.5999999999999995E-4</v>
      </c>
      <c r="T35" s="11">
        <v>6.3000000000000003E-4</v>
      </c>
      <c r="U35" s="11">
        <v>6.9999999999999999E-4</v>
      </c>
      <c r="V35" s="11">
        <v>7.6000000000000004E-4</v>
      </c>
      <c r="W35" s="11">
        <v>8.0000000000000004E-4</v>
      </c>
      <c r="X35" s="11">
        <v>8.4000000000000003E-4</v>
      </c>
      <c r="Y35" s="11">
        <v>8.7000000000000001E-4</v>
      </c>
      <c r="Z35" s="11">
        <v>8.8999999999999995E-4</v>
      </c>
      <c r="AA35" s="11">
        <v>9.1E-4</v>
      </c>
      <c r="AB35" s="11">
        <v>9.2000000000000003E-4</v>
      </c>
      <c r="AC35" s="11">
        <v>9.3000000000000005E-4</v>
      </c>
      <c r="AD35" s="11">
        <v>9.5E-4</v>
      </c>
      <c r="AE35" s="11">
        <v>9.7000000000000005E-4</v>
      </c>
      <c r="AF35" s="11">
        <v>1E-3</v>
      </c>
      <c r="AG35" s="11">
        <v>1.0399999999999999E-3</v>
      </c>
      <c r="AH35" s="11">
        <v>1.08E-3</v>
      </c>
      <c r="AI35" s="11">
        <v>1.1299999999999999E-3</v>
      </c>
      <c r="AJ35" s="11">
        <v>1.1800000000000001E-3</v>
      </c>
      <c r="AK35" s="11">
        <v>1.24E-3</v>
      </c>
      <c r="AL35" s="11">
        <v>1.31E-3</v>
      </c>
      <c r="AM35" s="11">
        <v>1.41E-3</v>
      </c>
      <c r="AN35" s="11">
        <v>1.5299999999999999E-3</v>
      </c>
      <c r="AO35" s="11">
        <v>1.6800000000000001E-3</v>
      </c>
      <c r="AP35" s="11">
        <v>1.8799999999999999E-3</v>
      </c>
      <c r="AQ35" s="11">
        <v>2.0999999999999999E-3</v>
      </c>
      <c r="AR35" s="11">
        <v>2.3600000000000001E-3</v>
      </c>
      <c r="AS35" s="11">
        <v>2.65E-3</v>
      </c>
      <c r="AT35" s="11">
        <v>2.9499999999999999E-3</v>
      </c>
      <c r="AU35" s="11">
        <v>3.2799999999999999E-3</v>
      </c>
      <c r="AV35" s="11">
        <v>3.64E-3</v>
      </c>
      <c r="AW35" s="11">
        <v>4.0299999999999997E-3</v>
      </c>
      <c r="AX35" s="11">
        <v>4.4600000000000004E-3</v>
      </c>
      <c r="AY35" s="11">
        <v>4.9399999999999999E-3</v>
      </c>
      <c r="AZ35" s="11">
        <v>5.47E-3</v>
      </c>
      <c r="BA35" s="11">
        <v>6.0600000000000003E-3</v>
      </c>
      <c r="BB35" s="11">
        <v>6.7099999999999998E-3</v>
      </c>
      <c r="BC35" s="11">
        <v>7.4200000000000004E-3</v>
      </c>
      <c r="BD35" s="11">
        <v>8.1899999999999994E-3</v>
      </c>
      <c r="BE35" s="11">
        <v>9.0299999999999998E-3</v>
      </c>
      <c r="BF35" s="11">
        <v>9.9399999999999992E-3</v>
      </c>
      <c r="BG35" s="11">
        <v>1.093E-2</v>
      </c>
      <c r="BH35" s="11">
        <v>1.2019999999999999E-2</v>
      </c>
      <c r="BI35" s="11">
        <v>1.3220000000000001E-2</v>
      </c>
      <c r="BJ35" s="11">
        <v>1.4540000000000001E-2</v>
      </c>
      <c r="BK35" s="11">
        <v>1.5980000000000001E-2</v>
      </c>
      <c r="BL35" s="11">
        <v>1.7559999999999999E-2</v>
      </c>
      <c r="BM35" s="11">
        <v>1.9259999999999999E-2</v>
      </c>
      <c r="BN35" s="11">
        <v>2.1100000000000001E-2</v>
      </c>
      <c r="BO35" s="11">
        <v>2.3089999999999999E-2</v>
      </c>
      <c r="BP35" s="11">
        <v>2.5250000000000002E-2</v>
      </c>
      <c r="BQ35" s="11">
        <v>2.7609999999999999E-2</v>
      </c>
      <c r="BR35" s="11">
        <v>3.0210000000000001E-2</v>
      </c>
      <c r="BS35" s="11">
        <v>3.3079999999999998E-2</v>
      </c>
      <c r="BT35" s="11">
        <v>3.6240000000000001E-2</v>
      </c>
      <c r="BU35" s="11">
        <v>3.9660000000000001E-2</v>
      </c>
      <c r="BV35" s="11">
        <v>4.3299999999999998E-2</v>
      </c>
      <c r="BW35" s="11">
        <v>4.709E-2</v>
      </c>
      <c r="BX35" s="11">
        <v>5.0999999999999997E-2</v>
      </c>
      <c r="BY35" s="11">
        <v>5.5010000000000003E-2</v>
      </c>
      <c r="BZ35" s="11">
        <v>5.9229999999999998E-2</v>
      </c>
      <c r="CA35" s="11">
        <v>6.3799999999999996E-2</v>
      </c>
      <c r="CB35" s="11">
        <v>6.8849999999999995E-2</v>
      </c>
      <c r="CC35" s="11">
        <v>7.4520000000000003E-2</v>
      </c>
      <c r="CD35" s="11">
        <v>8.0920000000000006E-2</v>
      </c>
      <c r="CE35" s="11">
        <v>8.7989999999999999E-2</v>
      </c>
      <c r="CF35" s="11">
        <v>9.5640000000000003E-2</v>
      </c>
      <c r="CG35" s="11">
        <v>0.10378</v>
      </c>
      <c r="CH35" s="11">
        <v>0.11232</v>
      </c>
      <c r="CI35" s="11">
        <v>0.1212</v>
      </c>
      <c r="CJ35" s="11">
        <v>0.13045000000000001</v>
      </c>
      <c r="CK35" s="11">
        <v>0.14011999999999999</v>
      </c>
      <c r="CL35" s="11">
        <v>0.15026999999999999</v>
      </c>
      <c r="CM35" s="11">
        <v>0.16098000000000001</v>
      </c>
      <c r="CN35" s="11">
        <v>0.17238999999999999</v>
      </c>
      <c r="CO35" s="11">
        <v>0.18475</v>
      </c>
      <c r="CP35" s="11">
        <v>0.19838</v>
      </c>
      <c r="CQ35" s="11">
        <v>0.21371000000000001</v>
      </c>
      <c r="CR35" s="11">
        <v>0.23124</v>
      </c>
      <c r="CS35" s="11">
        <v>0.25147000000000003</v>
      </c>
      <c r="CT35" s="11">
        <v>0.27489999999999998</v>
      </c>
      <c r="CU35" s="11">
        <v>0.30303000000000002</v>
      </c>
      <c r="CV35" s="11">
        <v>0.34336</v>
      </c>
      <c r="CW35" s="11">
        <v>0.40978999999999999</v>
      </c>
      <c r="CX35" s="11">
        <v>0.52261999999999997</v>
      </c>
      <c r="CY35" s="11">
        <v>0.70855000000000001</v>
      </c>
      <c r="CZ35" s="11">
        <v>1</v>
      </c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</row>
    <row r="36" spans="1:130">
      <c r="A36" s="2" t="s">
        <v>204</v>
      </c>
      <c r="B36" s="4" t="s">
        <v>225</v>
      </c>
      <c r="C36" s="2"/>
      <c r="D36" s="11">
        <v>4.1799999999999997E-3</v>
      </c>
      <c r="E36" s="11">
        <v>1.07E-3</v>
      </c>
      <c r="F36" s="11">
        <v>9.8999999999999999E-4</v>
      </c>
      <c r="G36" s="11">
        <v>9.7999999999999997E-4</v>
      </c>
      <c r="H36" s="11">
        <v>9.5E-4</v>
      </c>
      <c r="I36" s="11">
        <v>8.9999999999999998E-4</v>
      </c>
      <c r="J36" s="11">
        <v>8.5999999999999998E-4</v>
      </c>
      <c r="K36" s="11">
        <v>8.0000000000000004E-4</v>
      </c>
      <c r="L36" s="11">
        <v>7.6000000000000004E-4</v>
      </c>
      <c r="M36" s="11">
        <v>7.3999999999999999E-4</v>
      </c>
      <c r="N36" s="11">
        <v>7.2999999999999996E-4</v>
      </c>
      <c r="O36" s="11">
        <v>7.7000000000000007E-4</v>
      </c>
      <c r="P36" s="11">
        <v>8.4999999999999995E-4</v>
      </c>
      <c r="Q36" s="11">
        <v>9.8999999999999999E-4</v>
      </c>
      <c r="R36" s="11">
        <v>1.15E-3</v>
      </c>
      <c r="S36" s="11">
        <v>1.33E-3</v>
      </c>
      <c r="T36" s="11">
        <v>1.5100000000000001E-3</v>
      </c>
      <c r="U36" s="11">
        <v>1.6699999999999998E-3</v>
      </c>
      <c r="V36" s="11">
        <v>1.7800000000000001E-3</v>
      </c>
      <c r="W36" s="11">
        <v>1.8600000000000001E-3</v>
      </c>
      <c r="X36" s="11">
        <v>1.9E-3</v>
      </c>
      <c r="Y36" s="11">
        <v>1.91E-3</v>
      </c>
      <c r="Z36" s="11">
        <v>1.89E-3</v>
      </c>
      <c r="AA36" s="11">
        <v>1.8600000000000001E-3</v>
      </c>
      <c r="AB36" s="11">
        <v>1.82E-3</v>
      </c>
      <c r="AC36" s="11">
        <v>1.7700000000000001E-3</v>
      </c>
      <c r="AD36" s="11">
        <v>1.73E-3</v>
      </c>
      <c r="AE36" s="11">
        <v>1.7099999999999999E-3</v>
      </c>
      <c r="AF36" s="11">
        <v>1.6999999999999999E-3</v>
      </c>
      <c r="AG36" s="11">
        <v>1.7099999999999999E-3</v>
      </c>
      <c r="AH36" s="11">
        <v>1.73E-3</v>
      </c>
      <c r="AI36" s="11">
        <v>1.7800000000000001E-3</v>
      </c>
      <c r="AJ36" s="11">
        <v>1.83E-3</v>
      </c>
      <c r="AK36" s="11">
        <v>1.91E-3</v>
      </c>
      <c r="AL36" s="11">
        <v>2E-3</v>
      </c>
      <c r="AM36" s="11">
        <v>2.1099999999999999E-3</v>
      </c>
      <c r="AN36" s="11">
        <v>2.2400000000000002E-3</v>
      </c>
      <c r="AO36" s="11">
        <v>2.3999999999999998E-3</v>
      </c>
      <c r="AP36" s="11">
        <v>2.5800000000000003E-3</v>
      </c>
      <c r="AQ36" s="11">
        <v>2.7899999999999999E-3</v>
      </c>
      <c r="AR36" s="11">
        <v>3.0200000000000001E-3</v>
      </c>
      <c r="AS36" s="11">
        <v>3.29E-3</v>
      </c>
      <c r="AT36" s="11">
        <v>3.5600000000000002E-3</v>
      </c>
      <c r="AU36" s="11">
        <v>3.8700000000000002E-3</v>
      </c>
      <c r="AV36" s="11">
        <v>4.1900000000000001E-3</v>
      </c>
      <c r="AW36" s="11">
        <v>4.5500000000000002E-3</v>
      </c>
      <c r="AX36" s="11">
        <v>4.9199999999999999E-3</v>
      </c>
      <c r="AY36" s="11">
        <v>5.3200000000000001E-3</v>
      </c>
      <c r="AZ36" s="11">
        <v>5.7400000000000003E-3</v>
      </c>
      <c r="BA36" s="11">
        <v>6.2100000000000002E-3</v>
      </c>
      <c r="BB36" s="11">
        <v>6.7099999999999998E-3</v>
      </c>
      <c r="BC36" s="11">
        <v>7.3000000000000001E-3</v>
      </c>
      <c r="BD36" s="11">
        <v>7.9600000000000001E-3</v>
      </c>
      <c r="BE36" s="11">
        <v>8.7100000000000007E-3</v>
      </c>
      <c r="BF36" s="11">
        <v>9.5600000000000008E-3</v>
      </c>
      <c r="BG36" s="11">
        <v>1.047E-2</v>
      </c>
      <c r="BH36" s="11">
        <v>1.1460000000000001E-2</v>
      </c>
      <c r="BI36" s="11">
        <v>1.2489999999999999E-2</v>
      </c>
      <c r="BJ36" s="11">
        <v>1.359E-2</v>
      </c>
      <c r="BK36" s="11">
        <v>1.477E-2</v>
      </c>
      <c r="BL36" s="11">
        <v>1.6079999999999997E-2</v>
      </c>
      <c r="BM36" s="11">
        <v>1.754E-2</v>
      </c>
      <c r="BN36" s="11">
        <v>1.9190000000000002E-2</v>
      </c>
      <c r="BO36" s="11">
        <v>2.1059999999999999E-2</v>
      </c>
      <c r="BP36" s="11">
        <v>2.3140000000000001E-2</v>
      </c>
      <c r="BQ36" s="11">
        <v>2.5420000000000002E-2</v>
      </c>
      <c r="BR36" s="11">
        <v>2.785E-2</v>
      </c>
      <c r="BS36" s="11">
        <v>3.0440000000000002E-2</v>
      </c>
      <c r="BT36" s="11">
        <v>3.3189999999999997E-2</v>
      </c>
      <c r="BU36" s="11">
        <v>3.6170000000000001E-2</v>
      </c>
      <c r="BV36" s="11">
        <v>3.9509999999999997E-2</v>
      </c>
      <c r="BW36" s="11">
        <v>4.3299999999999998E-2</v>
      </c>
      <c r="BX36" s="11">
        <v>4.7649999999999998E-2</v>
      </c>
      <c r="BY36" s="11">
        <v>5.2639999999999999E-2</v>
      </c>
      <c r="BZ36" s="11">
        <v>5.8189999999999999E-2</v>
      </c>
      <c r="CA36" s="11">
        <v>6.4189999999999997E-2</v>
      </c>
      <c r="CB36" s="11">
        <v>7.0529999999999995E-2</v>
      </c>
      <c r="CC36" s="11">
        <v>7.7120000000000008E-2</v>
      </c>
      <c r="CD36" s="11">
        <v>8.3900000000000002E-2</v>
      </c>
      <c r="CE36" s="11">
        <v>9.1049999999999992E-2</v>
      </c>
      <c r="CF36" s="11">
        <v>9.8839999999999997E-2</v>
      </c>
      <c r="CG36" s="11">
        <v>0.10748000000000001</v>
      </c>
      <c r="CH36" s="11">
        <v>0.11724999999999999</v>
      </c>
      <c r="CI36" s="11">
        <v>0.12825999999999999</v>
      </c>
      <c r="CJ36" s="11">
        <v>0.14025000000000001</v>
      </c>
      <c r="CK36" s="11">
        <v>0.15294999999999997</v>
      </c>
      <c r="CL36" s="11">
        <v>0.16609000000000002</v>
      </c>
      <c r="CM36" s="11">
        <v>0.17955000000000002</v>
      </c>
      <c r="CN36" s="11">
        <v>0.19327</v>
      </c>
      <c r="CO36" s="11">
        <v>0.20729</v>
      </c>
      <c r="CP36" s="11">
        <v>0.22177000000000002</v>
      </c>
      <c r="CQ36" s="11">
        <v>0.23698</v>
      </c>
      <c r="CR36" s="11">
        <v>0.25345000000000001</v>
      </c>
      <c r="CS36" s="11">
        <v>0.27211000000000002</v>
      </c>
      <c r="CT36" s="11">
        <v>0.2959</v>
      </c>
      <c r="CU36" s="11">
        <v>0.32995999999999998</v>
      </c>
      <c r="CV36" s="11">
        <v>0.38455</v>
      </c>
      <c r="CW36" s="11">
        <v>0.48020000000000002</v>
      </c>
      <c r="CX36" s="11">
        <v>0.65798000000000001</v>
      </c>
      <c r="CY36" s="11">
        <v>1</v>
      </c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</row>
    <row r="37" spans="1:130">
      <c r="A37" s="2" t="s">
        <v>204</v>
      </c>
      <c r="B37" s="4" t="s">
        <v>7</v>
      </c>
      <c r="C37" s="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>
        <v>8.7100000000000003E-4</v>
      </c>
      <c r="S37" s="12">
        <v>1.0059999999999999E-3</v>
      </c>
      <c r="T37" s="12">
        <v>1.15E-3</v>
      </c>
      <c r="U37" s="12">
        <v>1.268E-3</v>
      </c>
      <c r="V37" s="12">
        <v>1.3140000000000001E-3</v>
      </c>
      <c r="W37" s="12">
        <v>1.325E-3</v>
      </c>
      <c r="X37" s="12">
        <v>1.3359999999999999E-3</v>
      </c>
      <c r="Y37" s="12">
        <v>1.3470000000000001E-3</v>
      </c>
      <c r="Z37" s="12">
        <v>1.358E-3</v>
      </c>
      <c r="AA37" s="12">
        <v>1.3600000000000001E-3</v>
      </c>
      <c r="AB37" s="12">
        <v>1.371E-3</v>
      </c>
      <c r="AC37" s="12">
        <v>1.382E-3</v>
      </c>
      <c r="AD37" s="12">
        <v>1.402E-3</v>
      </c>
      <c r="AE37" s="12">
        <v>1.413E-3</v>
      </c>
      <c r="AF37" s="12">
        <v>1.4519999999999999E-3</v>
      </c>
      <c r="AG37" s="12">
        <v>1.472E-3</v>
      </c>
      <c r="AH37" s="12">
        <v>1.5200000000000001E-3</v>
      </c>
      <c r="AI37" s="12">
        <v>1.5679999999999999E-3</v>
      </c>
      <c r="AJ37" s="12">
        <v>1.6249999999999999E-3</v>
      </c>
      <c r="AK37" s="12">
        <v>1.7099999999999999E-3</v>
      </c>
      <c r="AL37" s="12">
        <v>1.8309999999999999E-3</v>
      </c>
      <c r="AM37" s="12">
        <v>1.9620000000000002E-3</v>
      </c>
      <c r="AN37" s="12">
        <v>2.14E-3</v>
      </c>
      <c r="AO37" s="12">
        <v>2.336E-3</v>
      </c>
      <c r="AP37" s="12">
        <v>2.5790000000000001E-3</v>
      </c>
      <c r="AQ37" s="12">
        <v>2.859E-3</v>
      </c>
      <c r="AR37" s="12">
        <v>3.1679999999999998E-3</v>
      </c>
      <c r="AS37" s="12">
        <v>3.5149999999999999E-3</v>
      </c>
      <c r="AT37" s="12">
        <v>3.9100000000000003E-3</v>
      </c>
      <c r="AU37" s="12">
        <v>4.333E-3</v>
      </c>
      <c r="AV37" s="12">
        <v>4.7949999999999998E-3</v>
      </c>
      <c r="AW37" s="12">
        <v>5.3039999999999997E-3</v>
      </c>
      <c r="AX37" s="12">
        <v>5.8809999999999999E-3</v>
      </c>
      <c r="AY37" s="12">
        <v>6.4590000000000003E-3</v>
      </c>
      <c r="AZ37" s="12">
        <v>7.123E-3</v>
      </c>
      <c r="BA37" s="12">
        <v>7.835E-3</v>
      </c>
      <c r="BB37" s="12">
        <v>8.6250000000000007E-3</v>
      </c>
      <c r="BC37" s="12">
        <v>9.4830000000000001E-3</v>
      </c>
      <c r="BD37" s="12">
        <v>1.0428E-2</v>
      </c>
      <c r="BE37" s="12">
        <v>1.146E-2</v>
      </c>
      <c r="BF37" s="12">
        <v>1.259E-2</v>
      </c>
      <c r="BG37" s="12">
        <v>1.3808000000000001E-2</v>
      </c>
      <c r="BH37" s="12">
        <v>1.5105E-2</v>
      </c>
      <c r="BI37" s="12">
        <v>1.6492E-2</v>
      </c>
      <c r="BJ37" s="12">
        <v>1.7947999999999999E-2</v>
      </c>
      <c r="BK37" s="12">
        <v>1.9484999999999999E-2</v>
      </c>
      <c r="BL37" s="12">
        <v>2.1121999999999998E-2</v>
      </c>
      <c r="BM37" s="12">
        <v>2.2877999999999999E-2</v>
      </c>
      <c r="BN37" s="12">
        <v>2.4811E-2</v>
      </c>
      <c r="BO37" s="12">
        <v>2.6911999999999998E-2</v>
      </c>
      <c r="BP37" s="12">
        <v>2.9162E-2</v>
      </c>
      <c r="BQ37" s="12">
        <v>3.1620000000000002E-2</v>
      </c>
      <c r="BR37" s="12">
        <v>3.4363999999999999E-2</v>
      </c>
      <c r="BS37" s="12">
        <v>3.7394999999999998E-2</v>
      </c>
      <c r="BT37" s="12">
        <v>4.0732999999999998E-2</v>
      </c>
      <c r="BU37" s="12">
        <v>4.437E-2</v>
      </c>
      <c r="BV37" s="12">
        <v>4.8238999999999997E-2</v>
      </c>
      <c r="BW37" s="12">
        <v>5.2275000000000002E-2</v>
      </c>
      <c r="BX37" s="12">
        <v>5.6458000000000001E-2</v>
      </c>
      <c r="BY37" s="12">
        <v>6.0731E-2</v>
      </c>
      <c r="BZ37" s="12">
        <v>6.5210000000000004E-2</v>
      </c>
      <c r="CA37" s="12">
        <v>7.0003999999999997E-2</v>
      </c>
      <c r="CB37" s="12">
        <v>7.5299000000000005E-2</v>
      </c>
      <c r="CC37" s="12">
        <v>8.1234000000000001E-2</v>
      </c>
      <c r="CD37" s="12">
        <v>8.7909000000000001E-2</v>
      </c>
      <c r="CE37" s="12">
        <v>9.5268000000000005E-2</v>
      </c>
      <c r="CF37" s="12">
        <v>0.103168</v>
      </c>
      <c r="CG37" s="12">
        <v>0.111553</v>
      </c>
      <c r="CH37" s="12">
        <v>0.120277</v>
      </c>
      <c r="CI37" s="12">
        <v>0.12928100000000001</v>
      </c>
      <c r="CJ37" s="12">
        <v>0.138597</v>
      </c>
      <c r="CK37" s="12">
        <v>0.14827599999999999</v>
      </c>
      <c r="CL37" s="12">
        <v>0.158359</v>
      </c>
      <c r="CM37" s="12">
        <v>0.168937</v>
      </c>
      <c r="CN37" s="12">
        <v>0.18012900000000001</v>
      </c>
      <c r="CO37" s="12">
        <v>0.19220799999999999</v>
      </c>
      <c r="CP37" s="12">
        <v>0.20549500000000001</v>
      </c>
      <c r="CQ37" s="12">
        <v>0.220333</v>
      </c>
      <c r="CR37" s="12">
        <v>0.23726800000000001</v>
      </c>
      <c r="CS37" s="12">
        <v>0.25687500000000002</v>
      </c>
      <c r="CT37" s="12">
        <v>0.279802</v>
      </c>
      <c r="CU37" s="12">
        <v>0.30884</v>
      </c>
      <c r="CV37" s="12">
        <v>0.35178999999999999</v>
      </c>
      <c r="CW37" s="12">
        <v>0.42848000000000003</v>
      </c>
      <c r="CX37" s="12">
        <v>0.56225000000000003</v>
      </c>
      <c r="CY37" s="12">
        <v>0.75283999999999995</v>
      </c>
      <c r="CZ37" s="12">
        <v>0.75283999999999995</v>
      </c>
      <c r="DA37" s="12">
        <v>0.75283999999999995</v>
      </c>
      <c r="DB37" s="12">
        <v>0.75283999999999995</v>
      </c>
      <c r="DC37" s="12">
        <v>0.75283999999999995</v>
      </c>
      <c r="DD37" s="12">
        <v>0.75283999999999995</v>
      </c>
      <c r="DE37" s="12">
        <v>0.75283999999999995</v>
      </c>
      <c r="DF37" s="12">
        <v>0.75283999999999995</v>
      </c>
      <c r="DG37" s="12">
        <v>0.75283999999999995</v>
      </c>
      <c r="DH37" s="12">
        <v>0.75283999999999995</v>
      </c>
      <c r="DI37" s="12">
        <v>1</v>
      </c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</row>
    <row r="38" spans="1:130">
      <c r="A38" s="2" t="s">
        <v>204</v>
      </c>
      <c r="B38" s="4" t="s">
        <v>15</v>
      </c>
      <c r="C38" s="2" t="s">
        <v>0</v>
      </c>
      <c r="D38" s="11">
        <v>2.2190000000000001E-3</v>
      </c>
      <c r="E38" s="11">
        <v>9.3999999999999997E-4</v>
      </c>
      <c r="F38" s="11">
        <v>4.86E-4</v>
      </c>
      <c r="G38" s="11">
        <v>3.6000000000000002E-4</v>
      </c>
      <c r="H38" s="11">
        <v>2.9E-4</v>
      </c>
      <c r="I38" s="11">
        <v>2.34E-4</v>
      </c>
      <c r="J38" s="11">
        <v>1.93E-4</v>
      </c>
      <c r="K38" s="11">
        <v>1.6200000000000001E-4</v>
      </c>
      <c r="L38" s="11">
        <v>1.4300000000000001E-4</v>
      </c>
      <c r="M38" s="11">
        <v>1.34E-4</v>
      </c>
      <c r="N38" s="11">
        <v>1.3200000000000001E-4</v>
      </c>
      <c r="O38" s="11">
        <v>1.4300000000000001E-4</v>
      </c>
      <c r="P38" s="11">
        <v>1.55E-4</v>
      </c>
      <c r="Q38" s="11">
        <v>1.6699999999999999E-4</v>
      </c>
      <c r="R38" s="11">
        <v>1.8000000000000001E-4</v>
      </c>
      <c r="S38" s="11">
        <v>1.93E-4</v>
      </c>
      <c r="T38" s="11">
        <v>2.05E-4</v>
      </c>
      <c r="U38" s="11">
        <v>2.1800000000000001E-4</v>
      </c>
      <c r="V38" s="11">
        <v>2.31E-4</v>
      </c>
      <c r="W38" s="11">
        <v>2.4499999999999999E-4</v>
      </c>
      <c r="X38" s="11">
        <v>2.5999999999999998E-4</v>
      </c>
      <c r="Y38" s="11">
        <v>2.7500000000000002E-4</v>
      </c>
      <c r="Z38" s="11">
        <v>2.92E-4</v>
      </c>
      <c r="AA38" s="11">
        <v>3.0899999999999998E-4</v>
      </c>
      <c r="AB38" s="11">
        <v>3.2699999999999998E-4</v>
      </c>
      <c r="AC38" s="11">
        <v>3.4699999999999998E-4</v>
      </c>
      <c r="AD38" s="11">
        <v>3.68E-4</v>
      </c>
      <c r="AE38" s="11">
        <v>3.8999999999999999E-4</v>
      </c>
      <c r="AF38" s="11">
        <v>4.1399999999999998E-4</v>
      </c>
      <c r="AG38" s="11">
        <v>4.4000000000000002E-4</v>
      </c>
      <c r="AH38" s="11">
        <v>4.6900000000000002E-4</v>
      </c>
      <c r="AI38" s="11">
        <v>4.9899999999999999E-4</v>
      </c>
      <c r="AJ38" s="11">
        <v>5.3300000000000005E-4</v>
      </c>
      <c r="AK38" s="11">
        <v>5.6899999999999995E-4</v>
      </c>
      <c r="AL38" s="11">
        <v>6.0800000000000003E-4</v>
      </c>
      <c r="AM38" s="11">
        <v>6.5099999999999999E-4</v>
      </c>
      <c r="AN38" s="11">
        <v>6.9800000000000005E-4</v>
      </c>
      <c r="AO38" s="11">
        <v>7.5000000000000002E-4</v>
      </c>
      <c r="AP38" s="11">
        <v>8.0699999999999999E-4</v>
      </c>
      <c r="AQ38" s="11">
        <v>8.6899999999999998E-4</v>
      </c>
      <c r="AR38" s="11">
        <v>9.3800000000000003E-4</v>
      </c>
      <c r="AS38" s="11">
        <v>1.013E-3</v>
      </c>
      <c r="AT38" s="11">
        <v>1.0939999999999999E-3</v>
      </c>
      <c r="AU38" s="11">
        <v>1.186E-3</v>
      </c>
      <c r="AV38" s="11">
        <v>1.286E-3</v>
      </c>
      <c r="AW38" s="11">
        <v>1.397E-3</v>
      </c>
      <c r="AX38" s="11">
        <v>1.519E-3</v>
      </c>
      <c r="AY38" s="11">
        <v>1.6540000000000001E-3</v>
      </c>
      <c r="AZ38" s="11">
        <v>1.802E-3</v>
      </c>
      <c r="BA38" s="11">
        <v>1.967E-3</v>
      </c>
      <c r="BB38" s="11">
        <v>2.1510000000000001E-3</v>
      </c>
      <c r="BC38" s="11">
        <v>2.3240000000000001E-3</v>
      </c>
      <c r="BD38" s="11">
        <v>2.5200000000000001E-3</v>
      </c>
      <c r="BE38" s="11">
        <v>2.738E-3</v>
      </c>
      <c r="BF38" s="11">
        <v>2.9819999999999998E-3</v>
      </c>
      <c r="BG38" s="11">
        <v>3.2560000000000002E-3</v>
      </c>
      <c r="BH38" s="11">
        <v>3.5739999999999999E-3</v>
      </c>
      <c r="BI38" s="11">
        <v>3.9480000000000001E-3</v>
      </c>
      <c r="BJ38" s="11">
        <v>4.3880000000000004E-3</v>
      </c>
      <c r="BK38" s="11">
        <v>4.901E-3</v>
      </c>
      <c r="BL38" s="11">
        <v>5.489E-3</v>
      </c>
      <c r="BM38" s="11">
        <v>6.156E-3</v>
      </c>
      <c r="BN38" s="11">
        <v>6.8979999999999996E-3</v>
      </c>
      <c r="BO38" s="11">
        <v>7.7120000000000001E-3</v>
      </c>
      <c r="BP38" s="11">
        <v>8.6079999999999993E-3</v>
      </c>
      <c r="BQ38" s="11">
        <v>9.5630000000000003E-3</v>
      </c>
      <c r="BR38" s="11">
        <v>1.0565E-2</v>
      </c>
      <c r="BS38" s="11">
        <v>1.1620999999999999E-2</v>
      </c>
      <c r="BT38" s="11">
        <v>1.2877E-2</v>
      </c>
      <c r="BU38" s="11">
        <v>1.4461E-2</v>
      </c>
      <c r="BV38" s="11">
        <v>1.6476999999999999E-2</v>
      </c>
      <c r="BW38" s="11">
        <v>1.9E-2</v>
      </c>
      <c r="BX38" s="11">
        <v>2.1911E-2</v>
      </c>
      <c r="BY38" s="11">
        <v>2.5111999999999999E-2</v>
      </c>
      <c r="BZ38" s="11">
        <v>2.8632000000000001E-2</v>
      </c>
      <c r="CA38" s="11">
        <v>3.2384999999999997E-2</v>
      </c>
      <c r="CB38" s="11">
        <v>3.6408000000000003E-2</v>
      </c>
      <c r="CC38" s="11">
        <v>4.0769E-2</v>
      </c>
      <c r="CD38" s="11">
        <v>4.5471999999999999E-2</v>
      </c>
      <c r="CE38" s="11">
        <v>5.0616000000000001E-2</v>
      </c>
      <c r="CF38" s="11">
        <v>5.6085000000000003E-2</v>
      </c>
      <c r="CG38" s="11">
        <v>6.1852999999999998E-2</v>
      </c>
      <c r="CH38" s="11">
        <v>6.7935999999999996E-2</v>
      </c>
      <c r="CI38" s="11">
        <v>7.4351E-2</v>
      </c>
      <c r="CJ38" s="11">
        <v>8.1501000000000004E-2</v>
      </c>
      <c r="CK38" s="11">
        <v>8.9178999999999994E-2</v>
      </c>
      <c r="CL38" s="11">
        <v>9.7467999999999999E-2</v>
      </c>
      <c r="CM38" s="11">
        <v>0.106452</v>
      </c>
      <c r="CN38" s="11">
        <v>0.116226</v>
      </c>
      <c r="CO38" s="11">
        <v>0.12689300000000001</v>
      </c>
      <c r="CP38" s="11">
        <v>0.13857700000000001</v>
      </c>
      <c r="CQ38" s="11">
        <v>0.15119199999999999</v>
      </c>
      <c r="CR38" s="11">
        <v>0.165077</v>
      </c>
      <c r="CS38" s="11">
        <v>0.18040100000000001</v>
      </c>
      <c r="CT38" s="11">
        <v>0.197349</v>
      </c>
      <c r="CU38" s="11">
        <v>0.21612899999999999</v>
      </c>
      <c r="CV38" s="11">
        <v>0.23696999999999999</v>
      </c>
      <c r="CW38" s="11">
        <v>0.25805899999999998</v>
      </c>
      <c r="CX38" s="11">
        <v>0.28023700000000001</v>
      </c>
      <c r="CY38" s="11">
        <v>0.30467899999999998</v>
      </c>
      <c r="CZ38" s="11">
        <v>0.33162999999999998</v>
      </c>
      <c r="DA38" s="11">
        <v>0.36136099999999999</v>
      </c>
      <c r="DB38" s="11">
        <v>0.39416699999999999</v>
      </c>
      <c r="DC38" s="11">
        <v>0.43036600000000003</v>
      </c>
      <c r="DD38" s="11">
        <v>0.471522</v>
      </c>
      <c r="DE38" s="11">
        <v>0.51919599999999999</v>
      </c>
      <c r="DF38" s="11">
        <v>0.57494999999999996</v>
      </c>
      <c r="DG38" s="11">
        <v>0.64034500000000005</v>
      </c>
      <c r="DH38" s="11">
        <v>0.71694400000000003</v>
      </c>
      <c r="DI38" s="11">
        <v>0.80630900000000005</v>
      </c>
      <c r="DJ38" s="11">
        <v>1</v>
      </c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</row>
    <row r="39" spans="1:130">
      <c r="A39" s="2" t="s">
        <v>204</v>
      </c>
      <c r="B39" s="4" t="s">
        <v>229</v>
      </c>
      <c r="C39" s="2" t="s">
        <v>0</v>
      </c>
      <c r="D39" s="11">
        <v>3.2550000000000001E-3</v>
      </c>
      <c r="E39" s="11">
        <v>1.274E-3</v>
      </c>
      <c r="F39" s="11">
        <v>7.1500000000000003E-4</v>
      </c>
      <c r="G39" s="11">
        <v>5.7600000000000001E-4</v>
      </c>
      <c r="H39" s="11">
        <v>5.0500000000000002E-4</v>
      </c>
      <c r="I39" s="11">
        <v>4.5600000000000003E-4</v>
      </c>
      <c r="J39" s="11">
        <v>4.2400000000000001E-4</v>
      </c>
      <c r="K39" s="11">
        <v>4.0299999999999998E-4</v>
      </c>
      <c r="L39" s="11">
        <v>3.9199999999999999E-4</v>
      </c>
      <c r="M39" s="11">
        <v>3.8900000000000002E-4</v>
      </c>
      <c r="N39" s="11">
        <v>3.8999999999999999E-4</v>
      </c>
      <c r="O39" s="11">
        <v>3.97E-4</v>
      </c>
      <c r="P39" s="11">
        <v>4.0499999999999998E-4</v>
      </c>
      <c r="Q39" s="11">
        <v>4.1300000000000001E-4</v>
      </c>
      <c r="R39" s="11">
        <v>4.2200000000000001E-4</v>
      </c>
      <c r="S39" s="11">
        <v>4.3300000000000001E-4</v>
      </c>
      <c r="T39" s="11">
        <v>4.44E-4</v>
      </c>
      <c r="U39" s="11">
        <v>4.57E-4</v>
      </c>
      <c r="V39" s="11">
        <v>4.7100000000000001E-4</v>
      </c>
      <c r="W39" s="11">
        <v>4.86E-4</v>
      </c>
      <c r="X39" s="11">
        <v>5.0299999999999997E-4</v>
      </c>
      <c r="Y39" s="11">
        <v>5.22E-4</v>
      </c>
      <c r="Z39" s="11">
        <v>5.44E-4</v>
      </c>
      <c r="AA39" s="11">
        <v>5.6599999999999999E-4</v>
      </c>
      <c r="AB39" s="11">
        <v>5.9100000000000005E-4</v>
      </c>
      <c r="AC39" s="11">
        <v>6.1899999999999998E-4</v>
      </c>
      <c r="AD39" s="11">
        <v>6.4999999999999997E-4</v>
      </c>
      <c r="AE39" s="11">
        <v>6.8400000000000004E-4</v>
      </c>
      <c r="AF39" s="11">
        <v>7.2199999999999999E-4</v>
      </c>
      <c r="AG39" s="11">
        <v>7.6300000000000001E-4</v>
      </c>
      <c r="AH39" s="11">
        <v>8.0900000000000004E-4</v>
      </c>
      <c r="AI39" s="11">
        <v>8.5999999999999998E-4</v>
      </c>
      <c r="AJ39" s="11">
        <v>9.1600000000000004E-4</v>
      </c>
      <c r="AK39" s="11">
        <v>9.7799999999999992E-4</v>
      </c>
      <c r="AL39" s="11">
        <v>1.0460000000000001E-3</v>
      </c>
      <c r="AM39" s="11">
        <v>1.122E-3</v>
      </c>
      <c r="AN39" s="11">
        <v>1.204E-3</v>
      </c>
      <c r="AO39" s="11">
        <v>1.2949999999999999E-3</v>
      </c>
      <c r="AP39" s="11">
        <v>1.397E-3</v>
      </c>
      <c r="AQ39" s="11">
        <v>1.5089999999999999E-3</v>
      </c>
      <c r="AR39" s="11">
        <v>1.6329999999999999E-3</v>
      </c>
      <c r="AS39" s="11">
        <v>1.789E-3</v>
      </c>
      <c r="AT39" s="11">
        <v>2E-3</v>
      </c>
      <c r="AU39" s="11">
        <v>2.2599999999999999E-3</v>
      </c>
      <c r="AV39" s="11">
        <v>2.5690000000000001E-3</v>
      </c>
      <c r="AW39" s="11">
        <v>2.9220000000000001E-3</v>
      </c>
      <c r="AX39" s="11">
        <v>3.3180000000000002E-3</v>
      </c>
      <c r="AY39" s="11">
        <v>3.754E-3</v>
      </c>
      <c r="AZ39" s="11">
        <v>4.228E-3</v>
      </c>
      <c r="BA39" s="11">
        <v>4.7400000000000003E-3</v>
      </c>
      <c r="BB39" s="11">
        <v>5.2849999999999998E-3</v>
      </c>
      <c r="BC39" s="11">
        <v>5.8669999999999998E-3</v>
      </c>
      <c r="BD39" s="11">
        <v>6.4799999999999996E-3</v>
      </c>
      <c r="BE39" s="11">
        <v>7.1269999999999997E-3</v>
      </c>
      <c r="BF39" s="11">
        <v>7.8059999999999996E-3</v>
      </c>
      <c r="BG39" s="11">
        <v>8.5190000000000005E-3</v>
      </c>
      <c r="BH39" s="11">
        <v>9.2619999999999994E-3</v>
      </c>
      <c r="BI39" s="11">
        <v>1.0038999999999999E-2</v>
      </c>
      <c r="BJ39" s="11">
        <v>1.0888999999999999E-2</v>
      </c>
      <c r="BK39" s="11">
        <v>1.1924000000000001E-2</v>
      </c>
      <c r="BL39" s="11">
        <v>1.3119E-2</v>
      </c>
      <c r="BM39" s="11">
        <v>1.444E-2</v>
      </c>
      <c r="BN39" s="11">
        <v>1.5862999999999999E-2</v>
      </c>
      <c r="BO39" s="11">
        <v>1.7413000000000001E-2</v>
      </c>
      <c r="BP39" s="11">
        <v>1.9185000000000001E-2</v>
      </c>
      <c r="BQ39" s="11">
        <v>2.1260000000000001E-2</v>
      </c>
      <c r="BR39" s="11">
        <v>2.3643000000000001E-2</v>
      </c>
      <c r="BS39" s="11">
        <v>2.6315999999999999E-2</v>
      </c>
      <c r="BT39" s="11">
        <v>2.9187999999999999E-2</v>
      </c>
      <c r="BU39" s="11">
        <v>3.2434999999999999E-2</v>
      </c>
      <c r="BV39" s="11">
        <v>3.6105999999999999E-2</v>
      </c>
      <c r="BW39" s="11">
        <v>4.0008000000000002E-2</v>
      </c>
      <c r="BX39" s="11">
        <v>4.3826999999999998E-2</v>
      </c>
      <c r="BY39" s="11">
        <v>4.7489000000000003E-2</v>
      </c>
      <c r="BZ39" s="11">
        <v>5.1221000000000003E-2</v>
      </c>
      <c r="CA39" s="11">
        <v>5.5293000000000002E-2</v>
      </c>
      <c r="CB39" s="11">
        <v>6.0068000000000003E-2</v>
      </c>
      <c r="CC39" s="11">
        <v>6.5923999999999996E-2</v>
      </c>
      <c r="CD39" s="11">
        <v>7.2595000000000007E-2</v>
      </c>
      <c r="CE39" s="11">
        <v>7.9691999999999999E-2</v>
      </c>
      <c r="CF39" s="11">
        <v>8.7430999999999995E-2</v>
      </c>
      <c r="CG39" s="11">
        <v>9.5445000000000002E-2</v>
      </c>
      <c r="CH39" s="11">
        <v>0.10369100000000001</v>
      </c>
      <c r="CI39" s="11">
        <v>0.112303</v>
      </c>
      <c r="CJ39" s="11">
        <v>0.121116</v>
      </c>
      <c r="CK39" s="11">
        <v>0.130102</v>
      </c>
      <c r="CL39" s="11">
        <v>0.13931499999999999</v>
      </c>
      <c r="CM39" s="11">
        <v>0.14871400000000001</v>
      </c>
      <c r="CN39" s="11">
        <v>0.15848599999999999</v>
      </c>
      <c r="CO39" s="11">
        <v>0.168709</v>
      </c>
      <c r="CP39" s="11">
        <v>0.179452</v>
      </c>
      <c r="CQ39" s="11">
        <v>0.19048899999999999</v>
      </c>
      <c r="CR39" s="11">
        <v>0.201681</v>
      </c>
      <c r="CS39" s="11">
        <v>0.21298600000000001</v>
      </c>
      <c r="CT39" s="11">
        <v>0.22653499999999999</v>
      </c>
      <c r="CU39" s="11">
        <v>0.24116399999999999</v>
      </c>
      <c r="CV39" s="11">
        <v>0.25620399999999999</v>
      </c>
      <c r="CW39" s="11">
        <v>0.27248</v>
      </c>
      <c r="CX39" s="11">
        <v>0.290163</v>
      </c>
      <c r="CY39" s="11">
        <v>0.30912499999999998</v>
      </c>
      <c r="CZ39" s="11">
        <v>0.32982499999999998</v>
      </c>
      <c r="DA39" s="11">
        <v>0.35245500000000002</v>
      </c>
      <c r="DB39" s="11">
        <v>0.37722</v>
      </c>
      <c r="DC39" s="11">
        <v>0.40620499999999998</v>
      </c>
      <c r="DD39" s="11">
        <v>0.44149699999999997</v>
      </c>
      <c r="DE39" s="11">
        <v>0.485182</v>
      </c>
      <c r="DF39" s="11">
        <v>0.53934300000000002</v>
      </c>
      <c r="DG39" s="11">
        <v>0.60606899999999997</v>
      </c>
      <c r="DH39" s="11">
        <v>0.68744400000000006</v>
      </c>
      <c r="DI39" s="11">
        <v>0.785555</v>
      </c>
      <c r="DJ39" s="11">
        <v>1</v>
      </c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</row>
    <row r="40" spans="1:130" s="48" customFormat="1">
      <c r="A40" s="45" t="s">
        <v>204</v>
      </c>
      <c r="B40" s="46" t="s">
        <v>213</v>
      </c>
      <c r="C40" s="45" t="s">
        <v>0</v>
      </c>
      <c r="D40" s="47"/>
      <c r="E40" s="47"/>
      <c r="F40" s="47"/>
      <c r="G40" s="47"/>
      <c r="H40" s="47"/>
      <c r="I40" s="47">
        <v>1.7100000000000001E-4</v>
      </c>
      <c r="J40" s="47">
        <v>1.3999999999999999E-4</v>
      </c>
      <c r="K40" s="47">
        <v>1.18E-4</v>
      </c>
      <c r="L40" s="47">
        <v>1.0399999999999999E-4</v>
      </c>
      <c r="M40" s="47">
        <v>9.7E-5</v>
      </c>
      <c r="N40" s="47">
        <v>9.6000000000000002E-5</v>
      </c>
      <c r="O40" s="47">
        <v>1.0399999999999999E-4</v>
      </c>
      <c r="P40" s="47">
        <v>1.13E-4</v>
      </c>
      <c r="Q40" s="47">
        <v>1.22E-4</v>
      </c>
      <c r="R40" s="47">
        <v>1.3100000000000001E-4</v>
      </c>
      <c r="S40" s="47">
        <v>1.3999999999999999E-4</v>
      </c>
      <c r="T40" s="47">
        <v>1.4899999999999999E-4</v>
      </c>
      <c r="U40" s="47">
        <v>1.5899999999999999E-4</v>
      </c>
      <c r="V40" s="47">
        <v>1.6799999999999999E-4</v>
      </c>
      <c r="W40" s="47">
        <v>1.7899999999999999E-4</v>
      </c>
      <c r="X40" s="47">
        <v>1.8900000000000001E-4</v>
      </c>
      <c r="Y40" s="47">
        <v>2.0100000000000001E-4</v>
      </c>
      <c r="Z40" s="47">
        <v>2.12E-4</v>
      </c>
      <c r="AA40" s="47">
        <v>2.2499999999999999E-4</v>
      </c>
      <c r="AB40" s="47">
        <v>2.3900000000000001E-4</v>
      </c>
      <c r="AC40" s="47">
        <v>2.5300000000000002E-4</v>
      </c>
      <c r="AD40" s="47">
        <v>2.6800000000000001E-4</v>
      </c>
      <c r="AE40" s="47">
        <v>2.8400000000000002E-4</v>
      </c>
      <c r="AF40" s="47">
        <v>3.0200000000000002E-4</v>
      </c>
      <c r="AG40" s="47">
        <v>3.2000000000000003E-4</v>
      </c>
      <c r="AH40" s="47">
        <v>3.4200000000000002E-4</v>
      </c>
      <c r="AI40" s="47">
        <v>3.6400000000000001E-4</v>
      </c>
      <c r="AJ40" s="47">
        <v>3.88E-4</v>
      </c>
      <c r="AK40" s="47">
        <v>4.1399999999999998E-4</v>
      </c>
      <c r="AL40" s="47">
        <v>4.4299999999999998E-4</v>
      </c>
      <c r="AM40" s="47">
        <v>4.7600000000000002E-4</v>
      </c>
      <c r="AN40" s="47">
        <v>5.0199999999999995E-4</v>
      </c>
      <c r="AO40" s="47">
        <v>5.3600000000000002E-4</v>
      </c>
      <c r="AP40" s="47">
        <v>5.7300000000000005E-4</v>
      </c>
      <c r="AQ40" s="47">
        <v>6.1700000000000004E-4</v>
      </c>
      <c r="AR40" s="47">
        <v>6.6500000000000001E-4</v>
      </c>
      <c r="AS40" s="47">
        <v>7.1599999999999995E-4</v>
      </c>
      <c r="AT40" s="47">
        <v>7.7499999999999997E-4</v>
      </c>
      <c r="AU40" s="47">
        <v>8.4199999999999998E-4</v>
      </c>
      <c r="AV40" s="47">
        <v>9.19E-4</v>
      </c>
      <c r="AW40" s="47">
        <v>1.01E-3</v>
      </c>
      <c r="AX40" s="47">
        <v>1.1169999999999999E-3</v>
      </c>
      <c r="AY40" s="47">
        <v>1.237E-3</v>
      </c>
      <c r="AZ40" s="47">
        <v>1.366E-3</v>
      </c>
      <c r="BA40" s="47">
        <v>1.505E-3</v>
      </c>
      <c r="BB40" s="47">
        <v>1.647E-3</v>
      </c>
      <c r="BC40" s="47">
        <v>1.7930000000000001E-3</v>
      </c>
      <c r="BD40" s="47">
        <v>1.949E-3</v>
      </c>
      <c r="BE40" s="47">
        <v>2.1199999999999999E-3</v>
      </c>
      <c r="BF40" s="47">
        <v>2.3149999999999998E-3</v>
      </c>
      <c r="BG40" s="47">
        <v>2.5409999999999999E-3</v>
      </c>
      <c r="BH40" s="47">
        <v>2.8029999999999999E-3</v>
      </c>
      <c r="BI40" s="47">
        <v>3.1029999999999999E-3</v>
      </c>
      <c r="BJ40" s="47">
        <v>3.4429999999999999E-3</v>
      </c>
      <c r="BK40" s="47">
        <v>3.8210000000000002E-3</v>
      </c>
      <c r="BL40" s="47">
        <v>4.241E-3</v>
      </c>
      <c r="BM40" s="47">
        <v>4.7029999999999997E-3</v>
      </c>
      <c r="BN40" s="47">
        <v>5.2100000000000002E-3</v>
      </c>
      <c r="BO40" s="47">
        <v>5.7689999999999998E-3</v>
      </c>
      <c r="BP40" s="47">
        <v>6.3860000000000002E-3</v>
      </c>
      <c r="BQ40" s="47">
        <v>7.064E-3</v>
      </c>
      <c r="BR40" s="47">
        <v>7.8169999999999993E-3</v>
      </c>
      <c r="BS40" s="47">
        <v>8.6809999999999995E-3</v>
      </c>
      <c r="BT40" s="47">
        <v>9.7020000000000006E-3</v>
      </c>
      <c r="BU40" s="47">
        <v>1.0921999999999999E-2</v>
      </c>
      <c r="BV40" s="47">
        <v>1.2385E-2</v>
      </c>
      <c r="BW40" s="47">
        <v>1.4128E-2</v>
      </c>
      <c r="BX40" s="47">
        <v>1.6160000000000001E-2</v>
      </c>
      <c r="BY40" s="47">
        <v>1.8481000000000001E-2</v>
      </c>
      <c r="BZ40" s="47">
        <v>2.1092E-2</v>
      </c>
      <c r="CA40" s="47">
        <v>2.3991999999999999E-2</v>
      </c>
      <c r="CB40" s="47">
        <v>2.7185000000000001E-2</v>
      </c>
      <c r="CC40" s="47">
        <v>3.0672000000000001E-2</v>
      </c>
      <c r="CD40" s="47">
        <v>3.4458999999999997E-2</v>
      </c>
      <c r="CE40" s="47">
        <v>3.8549E-2</v>
      </c>
      <c r="CF40" s="47">
        <v>4.2944999999999997E-2</v>
      </c>
      <c r="CG40" s="47">
        <v>4.7655000000000003E-2</v>
      </c>
      <c r="CH40" s="47">
        <v>5.2691000000000002E-2</v>
      </c>
      <c r="CI40" s="47">
        <v>5.8070999999999998E-2</v>
      </c>
      <c r="CJ40" s="47">
        <v>6.3807000000000003E-2</v>
      </c>
      <c r="CK40" s="47">
        <v>6.9917999999999994E-2</v>
      </c>
      <c r="CL40" s="47">
        <v>7.6569999999999999E-2</v>
      </c>
      <c r="CM40" s="47">
        <v>8.387E-2</v>
      </c>
      <c r="CN40" s="47">
        <v>9.1935000000000003E-2</v>
      </c>
      <c r="CO40" s="47">
        <v>0.101354</v>
      </c>
      <c r="CP40" s="47">
        <v>0.11175</v>
      </c>
      <c r="CQ40" s="47">
        <v>0.123076</v>
      </c>
      <c r="CR40" s="47">
        <v>0.13563</v>
      </c>
      <c r="CS40" s="47">
        <v>0.14957699999999999</v>
      </c>
      <c r="CT40" s="47">
        <v>0.165103</v>
      </c>
      <c r="CU40" s="47">
        <v>0.182419</v>
      </c>
      <c r="CV40" s="47">
        <v>0.20175699999999999</v>
      </c>
      <c r="CW40" s="47">
        <v>0.22204399999999999</v>
      </c>
      <c r="CX40" s="47">
        <v>0.243899</v>
      </c>
      <c r="CY40" s="47">
        <v>0.26818500000000001</v>
      </c>
      <c r="CZ40" s="47">
        <v>0.29518699999999998</v>
      </c>
      <c r="DA40" s="47">
        <v>0.32522499999999999</v>
      </c>
      <c r="DB40" s="47">
        <v>0.35889700000000002</v>
      </c>
      <c r="DC40" s="47">
        <v>0.395843</v>
      </c>
      <c r="DD40" s="47">
        <v>0.43836000000000003</v>
      </c>
      <c r="DE40" s="47">
        <v>0.48781600000000003</v>
      </c>
      <c r="DF40" s="47">
        <v>0.54588599999999998</v>
      </c>
      <c r="DG40" s="47">
        <v>0.61430899999999999</v>
      </c>
      <c r="DH40" s="47">
        <v>0.69488499999999997</v>
      </c>
      <c r="DI40" s="47">
        <v>0.78947400000000001</v>
      </c>
      <c r="DJ40" s="47">
        <v>1</v>
      </c>
      <c r="DK40" s="47"/>
      <c r="DL40" s="47"/>
      <c r="DM40" s="47"/>
      <c r="DN40" s="47"/>
      <c r="DO40" s="47"/>
      <c r="DP40" s="47"/>
      <c r="DQ40" s="47"/>
      <c r="DR40" s="47"/>
      <c r="DS40" s="47"/>
      <c r="DT40" s="47"/>
      <c r="DU40" s="47"/>
      <c r="DV40" s="47"/>
      <c r="DW40" s="47"/>
      <c r="DX40" s="47"/>
      <c r="DY40" s="47"/>
      <c r="DZ40" s="47"/>
    </row>
    <row r="41" spans="1:130" s="40" customFormat="1">
      <c r="A41" s="35" t="s">
        <v>204</v>
      </c>
      <c r="B41" s="36" t="s">
        <v>16</v>
      </c>
      <c r="C41" s="35"/>
      <c r="D41" s="37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>
        <v>1.66E-4</v>
      </c>
      <c r="U41" s="38">
        <v>1.7699999999999999E-4</v>
      </c>
      <c r="V41" s="38">
        <v>1.8699999999999999E-4</v>
      </c>
      <c r="W41" s="38">
        <v>1.9900000000000001E-4</v>
      </c>
      <c r="X41" s="38">
        <v>2.1000000000000001E-4</v>
      </c>
      <c r="Y41" s="38">
        <v>2.23E-4</v>
      </c>
      <c r="Z41" s="38">
        <v>2.3599999999999999E-4</v>
      </c>
      <c r="AA41" s="38">
        <v>2.5000000000000001E-4</v>
      </c>
      <c r="AB41" s="38">
        <v>2.6499999999999999E-4</v>
      </c>
      <c r="AC41" s="38">
        <v>2.81E-4</v>
      </c>
      <c r="AD41" s="38">
        <v>2.9799999999999998E-4</v>
      </c>
      <c r="AE41" s="38">
        <v>3.1500000000000001E-4</v>
      </c>
      <c r="AF41" s="38">
        <v>3.3500000000000001E-4</v>
      </c>
      <c r="AG41" s="38">
        <v>3.5599999999999998E-4</v>
      </c>
      <c r="AH41" s="38">
        <v>3.8000000000000002E-4</v>
      </c>
      <c r="AI41" s="38">
        <v>4.0400000000000001E-4</v>
      </c>
      <c r="AJ41" s="38">
        <v>4.3100000000000001E-4</v>
      </c>
      <c r="AK41" s="38">
        <v>4.6000000000000001E-4</v>
      </c>
      <c r="AL41" s="38">
        <v>4.9200000000000003E-4</v>
      </c>
      <c r="AM41" s="38">
        <v>5.2899999999999996E-4</v>
      </c>
      <c r="AN41" s="38">
        <v>5.5800000000000001E-4</v>
      </c>
      <c r="AO41" s="38">
        <v>5.9500000000000004E-4</v>
      </c>
      <c r="AP41" s="38">
        <v>6.3699999999999998E-4</v>
      </c>
      <c r="AQ41" s="38">
        <v>6.8599999999999998E-4</v>
      </c>
      <c r="AR41" s="38">
        <v>7.3899999999999997E-4</v>
      </c>
      <c r="AS41" s="38">
        <v>7.9600000000000005E-4</v>
      </c>
      <c r="AT41" s="38">
        <v>8.61E-4</v>
      </c>
      <c r="AU41" s="38">
        <v>9.3499999999999996E-4</v>
      </c>
      <c r="AV41" s="38">
        <v>1.021E-3</v>
      </c>
      <c r="AW41" s="38">
        <v>1.122E-3</v>
      </c>
      <c r="AX41" s="38">
        <v>1.2409999999999999E-3</v>
      </c>
      <c r="AY41" s="38">
        <v>1.374E-3</v>
      </c>
      <c r="AZ41" s="38">
        <v>1.518E-3</v>
      </c>
      <c r="BA41" s="38">
        <v>1.6720000000000001E-3</v>
      </c>
      <c r="BB41" s="38">
        <v>1.83E-3</v>
      </c>
      <c r="BC41" s="38">
        <v>1.9919999999999998E-3</v>
      </c>
      <c r="BD41" s="38">
        <v>2.1649999999999998E-3</v>
      </c>
      <c r="BE41" s="38">
        <v>2.3549999999999999E-3</v>
      </c>
      <c r="BF41" s="38">
        <v>2.5720000000000001E-3</v>
      </c>
      <c r="BG41" s="38">
        <v>2.823E-3</v>
      </c>
      <c r="BH41" s="38">
        <v>3.114E-3</v>
      </c>
      <c r="BI41" s="38">
        <v>3.4480000000000001E-3</v>
      </c>
      <c r="BJ41" s="38">
        <v>3.8249999999999998E-3</v>
      </c>
      <c r="BK41" s="38">
        <v>4.2459999999999998E-3</v>
      </c>
      <c r="BL41" s="38">
        <v>4.712E-3</v>
      </c>
      <c r="BM41" s="38">
        <v>5.2249999999999996E-3</v>
      </c>
      <c r="BN41" s="38">
        <v>5.7889999999999999E-3</v>
      </c>
      <c r="BO41" s="38">
        <v>6.4099999999999999E-3</v>
      </c>
      <c r="BP41" s="38">
        <v>7.0949999999999997E-3</v>
      </c>
      <c r="BQ41" s="38">
        <v>7.8490000000000001E-3</v>
      </c>
      <c r="BR41" s="38">
        <v>8.6859999999999993E-3</v>
      </c>
      <c r="BS41" s="38">
        <v>9.6460000000000001E-3</v>
      </c>
      <c r="BT41" s="38">
        <v>1.078E-2</v>
      </c>
      <c r="BU41" s="38">
        <v>1.2135E-2</v>
      </c>
      <c r="BV41" s="38">
        <v>1.3761000000000001E-2</v>
      </c>
      <c r="BW41" s="38">
        <v>1.5698E-2</v>
      </c>
      <c r="BX41" s="38">
        <v>1.7954999999999999E-2</v>
      </c>
      <c r="BY41" s="38">
        <v>2.0534E-2</v>
      </c>
      <c r="BZ41" s="38">
        <v>2.3435000000000001E-2</v>
      </c>
      <c r="CA41" s="38">
        <v>2.6658000000000001E-2</v>
      </c>
      <c r="CB41" s="38">
        <v>3.0204999999999999E-2</v>
      </c>
      <c r="CC41" s="38">
        <v>3.4079999999999999E-2</v>
      </c>
      <c r="CD41" s="38">
        <v>3.8288000000000003E-2</v>
      </c>
      <c r="CE41" s="38">
        <v>4.2832000000000002E-2</v>
      </c>
      <c r="CF41" s="38">
        <v>4.7717000000000002E-2</v>
      </c>
      <c r="CG41" s="38">
        <v>5.2949999999999997E-2</v>
      </c>
      <c r="CH41" s="38">
        <v>5.8546000000000001E-2</v>
      </c>
      <c r="CI41" s="38">
        <v>6.4522999999999997E-2</v>
      </c>
      <c r="CJ41" s="38">
        <v>7.0897000000000002E-2</v>
      </c>
      <c r="CK41" s="38">
        <v>7.7687000000000006E-2</v>
      </c>
      <c r="CL41" s="38">
        <v>8.5078000000000001E-2</v>
      </c>
      <c r="CM41" s="38">
        <v>9.3188999999999994E-2</v>
      </c>
      <c r="CN41" s="38">
        <v>0.10215</v>
      </c>
      <c r="CO41" s="38">
        <v>0.11261599999999999</v>
      </c>
      <c r="CP41" s="38">
        <v>0.124167</v>
      </c>
      <c r="CQ41" s="38">
        <v>0.13675100000000001</v>
      </c>
      <c r="CR41" s="38">
        <v>0.1507</v>
      </c>
      <c r="CS41" s="38">
        <v>0.16619700000000001</v>
      </c>
      <c r="CT41" s="38">
        <v>0.183448</v>
      </c>
      <c r="CU41" s="38">
        <v>0.20268800000000001</v>
      </c>
      <c r="CV41" s="38">
        <v>0.22417400000000001</v>
      </c>
      <c r="CW41" s="38">
        <v>0.24671499999999999</v>
      </c>
      <c r="CX41" s="38">
        <v>0.27099899999999999</v>
      </c>
      <c r="CY41" s="38">
        <v>0.297983</v>
      </c>
      <c r="CZ41" s="38">
        <v>0.327986</v>
      </c>
      <c r="DA41" s="38"/>
      <c r="DB41" s="38"/>
      <c r="DC41" s="38"/>
      <c r="DD41" s="38"/>
      <c r="DE41" s="38"/>
      <c r="DF41" s="38"/>
      <c r="DG41" s="38"/>
      <c r="DH41" s="38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</row>
    <row r="42" spans="1:130">
      <c r="A42" s="22" t="s">
        <v>204</v>
      </c>
      <c r="B42" s="21" t="s">
        <v>18</v>
      </c>
      <c r="C42" s="22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>
        <f t="shared" ref="T42:AY42" si="4">T41+0.1*T41</f>
        <v>1.8259999999999999E-4</v>
      </c>
      <c r="U42" s="18">
        <f t="shared" si="4"/>
        <v>1.9469999999999999E-4</v>
      </c>
      <c r="V42" s="18">
        <f t="shared" si="4"/>
        <v>2.0569999999999999E-4</v>
      </c>
      <c r="W42" s="18">
        <f t="shared" si="4"/>
        <v>2.1890000000000001E-4</v>
      </c>
      <c r="X42" s="18">
        <f t="shared" si="4"/>
        <v>2.31E-4</v>
      </c>
      <c r="Y42" s="18">
        <f t="shared" si="4"/>
        <v>2.453E-4</v>
      </c>
      <c r="Z42" s="18">
        <f t="shared" si="4"/>
        <v>2.5959999999999997E-4</v>
      </c>
      <c r="AA42" s="18">
        <f t="shared" si="4"/>
        <v>2.7500000000000002E-4</v>
      </c>
      <c r="AB42" s="18">
        <f t="shared" si="4"/>
        <v>2.9149999999999998E-4</v>
      </c>
      <c r="AC42" s="18">
        <f t="shared" si="4"/>
        <v>3.0909999999999998E-4</v>
      </c>
      <c r="AD42" s="18">
        <f t="shared" si="4"/>
        <v>3.278E-4</v>
      </c>
      <c r="AE42" s="18">
        <f t="shared" si="4"/>
        <v>3.4650000000000002E-4</v>
      </c>
      <c r="AF42" s="18">
        <f t="shared" si="4"/>
        <v>3.6850000000000001E-4</v>
      </c>
      <c r="AG42" s="18">
        <f t="shared" si="4"/>
        <v>3.9159999999999998E-4</v>
      </c>
      <c r="AH42" s="18">
        <f t="shared" si="4"/>
        <v>4.1800000000000002E-4</v>
      </c>
      <c r="AI42" s="18">
        <f t="shared" si="4"/>
        <v>4.4440000000000001E-4</v>
      </c>
      <c r="AJ42" s="18">
        <f t="shared" si="4"/>
        <v>4.7410000000000003E-4</v>
      </c>
      <c r="AK42" s="18">
        <f t="shared" si="4"/>
        <v>5.0600000000000005E-4</v>
      </c>
      <c r="AL42" s="18">
        <f t="shared" si="4"/>
        <v>5.4120000000000004E-4</v>
      </c>
      <c r="AM42" s="18">
        <f t="shared" si="4"/>
        <v>5.819E-4</v>
      </c>
      <c r="AN42" s="18">
        <f t="shared" si="4"/>
        <v>6.1380000000000007E-4</v>
      </c>
      <c r="AO42" s="18">
        <f t="shared" si="4"/>
        <v>6.5450000000000003E-4</v>
      </c>
      <c r="AP42" s="18">
        <f t="shared" si="4"/>
        <v>7.0069999999999996E-4</v>
      </c>
      <c r="AQ42" s="18">
        <f t="shared" si="4"/>
        <v>7.5460000000000002E-4</v>
      </c>
      <c r="AR42" s="18">
        <f t="shared" si="4"/>
        <v>8.1289999999999997E-4</v>
      </c>
      <c r="AS42" s="18">
        <f t="shared" si="4"/>
        <v>8.7560000000000003E-4</v>
      </c>
      <c r="AT42" s="18">
        <f t="shared" si="4"/>
        <v>9.4709999999999998E-4</v>
      </c>
      <c r="AU42" s="18">
        <f t="shared" si="4"/>
        <v>1.0284999999999999E-3</v>
      </c>
      <c r="AV42" s="18">
        <f t="shared" si="4"/>
        <v>1.1230999999999999E-3</v>
      </c>
      <c r="AW42" s="18">
        <f t="shared" si="4"/>
        <v>1.2342E-3</v>
      </c>
      <c r="AX42" s="18">
        <f t="shared" si="4"/>
        <v>1.3651E-3</v>
      </c>
      <c r="AY42" s="18">
        <f t="shared" si="4"/>
        <v>1.5114E-3</v>
      </c>
      <c r="AZ42" s="18">
        <f t="shared" ref="AZ42:CE42" si="5">AZ41+0.1*AZ41</f>
        <v>1.6697999999999999E-3</v>
      </c>
      <c r="BA42" s="18">
        <f t="shared" si="5"/>
        <v>1.8392E-3</v>
      </c>
      <c r="BB42" s="18">
        <f t="shared" si="5"/>
        <v>2.013E-3</v>
      </c>
      <c r="BC42" s="18">
        <f t="shared" si="5"/>
        <v>2.1911999999999999E-3</v>
      </c>
      <c r="BD42" s="18">
        <f t="shared" si="5"/>
        <v>2.3814999999999999E-3</v>
      </c>
      <c r="BE42" s="18">
        <f t="shared" si="5"/>
        <v>2.5904999999999999E-3</v>
      </c>
      <c r="BF42" s="18">
        <f t="shared" si="5"/>
        <v>2.8292E-3</v>
      </c>
      <c r="BG42" s="18">
        <f t="shared" si="5"/>
        <v>3.1053000000000001E-3</v>
      </c>
      <c r="BH42" s="18">
        <f t="shared" si="5"/>
        <v>3.4253999999999999E-3</v>
      </c>
      <c r="BI42" s="18">
        <f t="shared" si="5"/>
        <v>3.7928000000000003E-3</v>
      </c>
      <c r="BJ42" s="18">
        <f t="shared" si="5"/>
        <v>4.2074999999999994E-3</v>
      </c>
      <c r="BK42" s="18">
        <f t="shared" si="5"/>
        <v>4.6705999999999996E-3</v>
      </c>
      <c r="BL42" s="18">
        <f t="shared" si="5"/>
        <v>5.1831999999999998E-3</v>
      </c>
      <c r="BM42" s="18">
        <f t="shared" si="5"/>
        <v>5.7474999999999991E-3</v>
      </c>
      <c r="BN42" s="18">
        <f t="shared" si="5"/>
        <v>6.3679000000000001E-3</v>
      </c>
      <c r="BO42" s="18">
        <f t="shared" si="5"/>
        <v>7.051E-3</v>
      </c>
      <c r="BP42" s="18">
        <f t="shared" si="5"/>
        <v>7.8044999999999998E-3</v>
      </c>
      <c r="BQ42" s="18">
        <f t="shared" si="5"/>
        <v>8.6338999999999999E-3</v>
      </c>
      <c r="BR42" s="18">
        <f t="shared" si="5"/>
        <v>9.5545999999999999E-3</v>
      </c>
      <c r="BS42" s="18">
        <f t="shared" si="5"/>
        <v>1.06106E-2</v>
      </c>
      <c r="BT42" s="18">
        <f t="shared" si="5"/>
        <v>1.1858E-2</v>
      </c>
      <c r="BU42" s="18">
        <f t="shared" si="5"/>
        <v>1.3348499999999999E-2</v>
      </c>
      <c r="BV42" s="18">
        <f t="shared" si="5"/>
        <v>1.5137100000000001E-2</v>
      </c>
      <c r="BW42" s="18">
        <f t="shared" si="5"/>
        <v>1.72678E-2</v>
      </c>
      <c r="BX42" s="18">
        <f t="shared" si="5"/>
        <v>1.9750499999999997E-2</v>
      </c>
      <c r="BY42" s="18">
        <f t="shared" si="5"/>
        <v>2.2587400000000001E-2</v>
      </c>
      <c r="BZ42" s="18">
        <f t="shared" si="5"/>
        <v>2.5778500000000003E-2</v>
      </c>
      <c r="CA42" s="18">
        <f t="shared" si="5"/>
        <v>2.9323800000000001E-2</v>
      </c>
      <c r="CB42" s="18">
        <f t="shared" si="5"/>
        <v>3.3225499999999998E-2</v>
      </c>
      <c r="CC42" s="18">
        <f t="shared" si="5"/>
        <v>3.7488E-2</v>
      </c>
      <c r="CD42" s="18">
        <f t="shared" si="5"/>
        <v>4.2116800000000003E-2</v>
      </c>
      <c r="CE42" s="18">
        <f t="shared" si="5"/>
        <v>4.7115200000000003E-2</v>
      </c>
      <c r="CF42" s="18">
        <f t="shared" ref="CF42:CZ42" si="6">CF41+0.1*CF41</f>
        <v>5.2488699999999999E-2</v>
      </c>
      <c r="CG42" s="18">
        <f t="shared" si="6"/>
        <v>5.8244999999999998E-2</v>
      </c>
      <c r="CH42" s="18">
        <f t="shared" si="6"/>
        <v>6.4400600000000002E-2</v>
      </c>
      <c r="CI42" s="18">
        <f t="shared" si="6"/>
        <v>7.0975299999999991E-2</v>
      </c>
      <c r="CJ42" s="18">
        <f t="shared" si="6"/>
        <v>7.7986700000000006E-2</v>
      </c>
      <c r="CK42" s="18">
        <f t="shared" si="6"/>
        <v>8.5455700000000009E-2</v>
      </c>
      <c r="CL42" s="18">
        <f t="shared" si="6"/>
        <v>9.3585799999999997E-2</v>
      </c>
      <c r="CM42" s="18">
        <f t="shared" si="6"/>
        <v>0.1025079</v>
      </c>
      <c r="CN42" s="18">
        <f t="shared" si="6"/>
        <v>0.11236500000000001</v>
      </c>
      <c r="CO42" s="18">
        <f t="shared" si="6"/>
        <v>0.12387759999999999</v>
      </c>
      <c r="CP42" s="18">
        <f t="shared" si="6"/>
        <v>0.1365837</v>
      </c>
      <c r="CQ42" s="18">
        <f t="shared" si="6"/>
        <v>0.15042610000000001</v>
      </c>
      <c r="CR42" s="18">
        <f t="shared" si="6"/>
        <v>0.16577</v>
      </c>
      <c r="CS42" s="18">
        <f t="shared" si="6"/>
        <v>0.1828167</v>
      </c>
      <c r="CT42" s="18">
        <f t="shared" si="6"/>
        <v>0.20179279999999999</v>
      </c>
      <c r="CU42" s="18">
        <f t="shared" si="6"/>
        <v>0.22295680000000001</v>
      </c>
      <c r="CV42" s="18">
        <f t="shared" si="6"/>
        <v>0.24659140000000002</v>
      </c>
      <c r="CW42" s="18">
        <f t="shared" si="6"/>
        <v>0.27138649999999997</v>
      </c>
      <c r="CX42" s="18">
        <f t="shared" si="6"/>
        <v>0.2980989</v>
      </c>
      <c r="CY42" s="18">
        <f t="shared" si="6"/>
        <v>0.3277813</v>
      </c>
      <c r="CZ42" s="18">
        <f t="shared" si="6"/>
        <v>0.36078460000000001</v>
      </c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20"/>
      <c r="DM42" s="20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</row>
    <row r="43" spans="1:130" s="40" customFormat="1">
      <c r="A43" s="35" t="s">
        <v>204</v>
      </c>
      <c r="B43" s="36" t="s">
        <v>17</v>
      </c>
      <c r="C43" s="35"/>
      <c r="D43" s="37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>
        <v>3.6999999999999999E-4</v>
      </c>
      <c r="U43" s="38">
        <v>3.8099999999999999E-4</v>
      </c>
      <c r="V43" s="38">
        <v>3.9199999999999999E-4</v>
      </c>
      <c r="W43" s="38">
        <v>4.0499999999999998E-4</v>
      </c>
      <c r="X43" s="38">
        <v>4.1899999999999999E-4</v>
      </c>
      <c r="Y43" s="38">
        <v>4.35E-4</v>
      </c>
      <c r="Z43" s="38">
        <v>4.5300000000000001E-4</v>
      </c>
      <c r="AA43" s="38">
        <v>4.7100000000000001E-4</v>
      </c>
      <c r="AB43" s="38">
        <v>4.9299999999999995E-4</v>
      </c>
      <c r="AC43" s="38">
        <v>5.1500000000000005E-4</v>
      </c>
      <c r="AD43" s="38">
        <v>5.4199999999999995E-4</v>
      </c>
      <c r="AE43" s="38">
        <v>5.6999999999999998E-4</v>
      </c>
      <c r="AF43" s="38">
        <v>6.02E-4</v>
      </c>
      <c r="AG43" s="38">
        <v>6.3599999999999996E-4</v>
      </c>
      <c r="AH43" s="38">
        <v>6.7400000000000001E-4</v>
      </c>
      <c r="AI43" s="38">
        <v>7.1699999999999997E-4</v>
      </c>
      <c r="AJ43" s="38">
        <v>7.6300000000000001E-4</v>
      </c>
      <c r="AK43" s="38">
        <v>8.1499999999999997E-4</v>
      </c>
      <c r="AL43" s="38">
        <v>8.7200000000000005E-4</v>
      </c>
      <c r="AM43" s="38">
        <v>9.5500000000000001E-4</v>
      </c>
      <c r="AN43" s="38">
        <v>1.008E-3</v>
      </c>
      <c r="AO43" s="38">
        <v>1.073E-3</v>
      </c>
      <c r="AP43" s="38">
        <v>1.1540000000000001E-3</v>
      </c>
      <c r="AQ43" s="38">
        <v>1.253E-3</v>
      </c>
      <c r="AR43" s="38">
        <v>1.3749999999999999E-3</v>
      </c>
      <c r="AS43" s="38">
        <v>1.5219999999999999E-3</v>
      </c>
      <c r="AT43" s="38">
        <v>1.6969999999999999E-3</v>
      </c>
      <c r="AU43" s="38">
        <v>1.905E-3</v>
      </c>
      <c r="AV43" s="38">
        <v>2.147E-3</v>
      </c>
      <c r="AW43" s="38">
        <v>2.4260000000000002E-3</v>
      </c>
      <c r="AX43" s="38">
        <v>2.745E-3</v>
      </c>
      <c r="AY43" s="38">
        <v>3.0999999999999999E-3</v>
      </c>
      <c r="AZ43" s="38">
        <v>3.4870000000000001E-3</v>
      </c>
      <c r="BA43" s="38">
        <v>3.9029999999999998E-3</v>
      </c>
      <c r="BB43" s="38">
        <v>4.3429999999999996E-3</v>
      </c>
      <c r="BC43" s="38">
        <v>4.8040000000000001E-3</v>
      </c>
      <c r="BD43" s="38">
        <v>5.2830000000000004E-3</v>
      </c>
      <c r="BE43" s="38">
        <v>5.7780000000000001E-3</v>
      </c>
      <c r="BF43" s="38">
        <v>6.2890000000000003E-3</v>
      </c>
      <c r="BG43" s="38">
        <v>6.8120000000000003E-3</v>
      </c>
      <c r="BH43" s="38">
        <v>7.3530000000000002E-3</v>
      </c>
      <c r="BI43" s="38">
        <v>7.9319999999999998E-3</v>
      </c>
      <c r="BJ43" s="38">
        <v>8.5769999999999996E-3</v>
      </c>
      <c r="BK43" s="38">
        <v>9.3150000000000004E-3</v>
      </c>
      <c r="BL43" s="38">
        <v>1.0175E-2</v>
      </c>
      <c r="BM43" s="38">
        <v>1.1181999999999999E-2</v>
      </c>
      <c r="BN43" s="38">
        <v>1.2370000000000001E-2</v>
      </c>
      <c r="BO43" s="38">
        <v>1.3768000000000001E-2</v>
      </c>
      <c r="BP43" s="38">
        <v>1.5409000000000001E-2</v>
      </c>
      <c r="BQ43" s="38">
        <v>1.7323999999999999E-2</v>
      </c>
      <c r="BR43" s="38">
        <v>1.9532000000000001E-2</v>
      </c>
      <c r="BS43" s="38">
        <v>2.2003999999999999E-2</v>
      </c>
      <c r="BT43" s="38">
        <v>2.4698999999999999E-2</v>
      </c>
      <c r="BU43" s="38">
        <v>2.7574000000000001E-2</v>
      </c>
      <c r="BV43" s="38">
        <v>3.0589000000000002E-2</v>
      </c>
      <c r="BW43" s="38">
        <v>3.3727E-2</v>
      </c>
      <c r="BX43" s="38">
        <v>3.7078E-2</v>
      </c>
      <c r="BY43" s="38">
        <v>4.0756000000000001E-2</v>
      </c>
      <c r="BZ43" s="38">
        <v>4.4875999999999999E-2</v>
      </c>
      <c r="CA43" s="38">
        <v>4.9551999999999999E-2</v>
      </c>
      <c r="CB43" s="38">
        <v>5.4876000000000001E-2</v>
      </c>
      <c r="CC43" s="38">
        <v>6.0842E-2</v>
      </c>
      <c r="CD43" s="38">
        <v>6.7419999999999994E-2</v>
      </c>
      <c r="CE43" s="38">
        <v>7.4582999999999997E-2</v>
      </c>
      <c r="CF43" s="38">
        <v>8.2299999999999998E-2</v>
      </c>
      <c r="CG43" s="38">
        <v>9.0537999999999993E-2</v>
      </c>
      <c r="CH43" s="38">
        <v>9.9243999999999999E-2</v>
      </c>
      <c r="CI43" s="38">
        <v>0.108361</v>
      </c>
      <c r="CJ43" s="38">
        <v>0.11783</v>
      </c>
      <c r="CK43" s="38">
        <v>0.12759499999999999</v>
      </c>
      <c r="CL43" s="38">
        <v>0.13796700000000001</v>
      </c>
      <c r="CM43" s="38">
        <v>0.14874399999999999</v>
      </c>
      <c r="CN43" s="38">
        <v>0.160081</v>
      </c>
      <c r="CO43" s="38">
        <v>0.172066</v>
      </c>
      <c r="CP43" s="38">
        <v>0.184785</v>
      </c>
      <c r="CQ43" s="38">
        <v>0.198016</v>
      </c>
      <c r="CR43" s="38">
        <v>0.211622</v>
      </c>
      <c r="CS43" s="38">
        <v>0.22556300000000001</v>
      </c>
      <c r="CT43" s="38">
        <v>0.242116</v>
      </c>
      <c r="CU43" s="38">
        <v>0.26009599999999999</v>
      </c>
      <c r="CV43" s="38">
        <v>0.27604000000000001</v>
      </c>
      <c r="CW43" s="38">
        <v>0.29328199999999999</v>
      </c>
      <c r="CX43" s="38">
        <v>0.31200299999999997</v>
      </c>
      <c r="CY43" s="38">
        <v>0.33239299999999999</v>
      </c>
      <c r="CZ43" s="38">
        <v>0.35465000000000002</v>
      </c>
      <c r="DA43" s="38"/>
      <c r="DB43" s="38"/>
      <c r="DC43" s="38"/>
      <c r="DD43" s="38"/>
      <c r="DE43" s="38"/>
      <c r="DF43" s="38"/>
      <c r="DG43" s="38"/>
      <c r="DH43" s="38"/>
      <c r="DI43" s="39"/>
      <c r="DJ43" s="39"/>
      <c r="DK43" s="39"/>
      <c r="DL43" s="39"/>
      <c r="DM43" s="39"/>
      <c r="DN43" s="39"/>
      <c r="DO43" s="39"/>
      <c r="DP43" s="39"/>
      <c r="DQ43" s="39"/>
      <c r="DR43" s="39"/>
      <c r="DS43" s="39"/>
      <c r="DT43" s="39"/>
      <c r="DU43" s="39"/>
      <c r="DV43" s="39"/>
      <c r="DW43" s="39"/>
      <c r="DX43" s="39"/>
      <c r="DY43" s="39"/>
      <c r="DZ43" s="39"/>
    </row>
    <row r="44" spans="1:130">
      <c r="A44" s="22" t="s">
        <v>204</v>
      </c>
      <c r="B44" s="21" t="s">
        <v>19</v>
      </c>
      <c r="C44" s="22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>
        <f t="shared" ref="T44:AY44" si="7">T43+0.1*T43</f>
        <v>4.0700000000000003E-4</v>
      </c>
      <c r="U44" s="18">
        <f t="shared" si="7"/>
        <v>4.191E-4</v>
      </c>
      <c r="V44" s="18">
        <f t="shared" si="7"/>
        <v>4.3119999999999996E-4</v>
      </c>
      <c r="W44" s="18">
        <f t="shared" si="7"/>
        <v>4.4549999999999999E-4</v>
      </c>
      <c r="X44" s="18">
        <f t="shared" si="7"/>
        <v>4.6089999999999998E-4</v>
      </c>
      <c r="Y44" s="18">
        <f t="shared" si="7"/>
        <v>4.7849999999999998E-4</v>
      </c>
      <c r="Z44" s="18">
        <f t="shared" si="7"/>
        <v>4.9830000000000002E-4</v>
      </c>
      <c r="AA44" s="18">
        <f t="shared" si="7"/>
        <v>5.1810000000000007E-4</v>
      </c>
      <c r="AB44" s="18">
        <f t="shared" si="7"/>
        <v>5.422999999999999E-4</v>
      </c>
      <c r="AC44" s="18">
        <f t="shared" si="7"/>
        <v>5.6650000000000005E-4</v>
      </c>
      <c r="AD44" s="18">
        <f t="shared" si="7"/>
        <v>5.9619999999999996E-4</v>
      </c>
      <c r="AE44" s="18">
        <f t="shared" si="7"/>
        <v>6.2699999999999995E-4</v>
      </c>
      <c r="AF44" s="18">
        <f t="shared" si="7"/>
        <v>6.6219999999999994E-4</v>
      </c>
      <c r="AG44" s="18">
        <f t="shared" si="7"/>
        <v>6.9959999999999998E-4</v>
      </c>
      <c r="AH44" s="18">
        <f t="shared" si="7"/>
        <v>7.4140000000000002E-4</v>
      </c>
      <c r="AI44" s="18">
        <f t="shared" si="7"/>
        <v>7.8869999999999993E-4</v>
      </c>
      <c r="AJ44" s="18">
        <f t="shared" si="7"/>
        <v>8.3930000000000007E-4</v>
      </c>
      <c r="AK44" s="18">
        <f t="shared" si="7"/>
        <v>8.9649999999999994E-4</v>
      </c>
      <c r="AL44" s="18">
        <f t="shared" si="7"/>
        <v>9.5920000000000011E-4</v>
      </c>
      <c r="AM44" s="18">
        <f t="shared" si="7"/>
        <v>1.0505E-3</v>
      </c>
      <c r="AN44" s="18">
        <f t="shared" si="7"/>
        <v>1.1088000000000001E-3</v>
      </c>
      <c r="AO44" s="18">
        <f t="shared" si="7"/>
        <v>1.1803E-3</v>
      </c>
      <c r="AP44" s="18">
        <f t="shared" si="7"/>
        <v>1.2694000000000002E-3</v>
      </c>
      <c r="AQ44" s="18">
        <f t="shared" si="7"/>
        <v>1.3783000000000001E-3</v>
      </c>
      <c r="AR44" s="18">
        <f t="shared" si="7"/>
        <v>1.5125E-3</v>
      </c>
      <c r="AS44" s="18">
        <f t="shared" si="7"/>
        <v>1.6741999999999998E-3</v>
      </c>
      <c r="AT44" s="18">
        <f t="shared" si="7"/>
        <v>1.8667E-3</v>
      </c>
      <c r="AU44" s="18">
        <f t="shared" si="7"/>
        <v>2.0955000000000001E-3</v>
      </c>
      <c r="AV44" s="18">
        <f t="shared" si="7"/>
        <v>2.3617E-3</v>
      </c>
      <c r="AW44" s="18">
        <f t="shared" si="7"/>
        <v>2.6686000000000001E-3</v>
      </c>
      <c r="AX44" s="18">
        <f t="shared" si="7"/>
        <v>3.0195E-3</v>
      </c>
      <c r="AY44" s="18">
        <f t="shared" si="7"/>
        <v>3.4099999999999998E-3</v>
      </c>
      <c r="AZ44" s="18">
        <f t="shared" ref="AZ44:CE44" si="8">AZ43+0.1*AZ43</f>
        <v>3.8357E-3</v>
      </c>
      <c r="BA44" s="18">
        <f t="shared" si="8"/>
        <v>4.2932999999999999E-3</v>
      </c>
      <c r="BB44" s="18">
        <f t="shared" si="8"/>
        <v>4.7772999999999999E-3</v>
      </c>
      <c r="BC44" s="18">
        <f t="shared" si="8"/>
        <v>5.2843999999999999E-3</v>
      </c>
      <c r="BD44" s="18">
        <f t="shared" si="8"/>
        <v>5.8113000000000001E-3</v>
      </c>
      <c r="BE44" s="18">
        <f t="shared" si="8"/>
        <v>6.3558E-3</v>
      </c>
      <c r="BF44" s="18">
        <f t="shared" si="8"/>
        <v>6.9179000000000003E-3</v>
      </c>
      <c r="BG44" s="18">
        <f t="shared" si="8"/>
        <v>7.4932000000000002E-3</v>
      </c>
      <c r="BH44" s="18">
        <f t="shared" si="8"/>
        <v>8.0882999999999997E-3</v>
      </c>
      <c r="BI44" s="18">
        <f t="shared" si="8"/>
        <v>8.7251999999999989E-3</v>
      </c>
      <c r="BJ44" s="18">
        <f t="shared" si="8"/>
        <v>9.434699999999999E-3</v>
      </c>
      <c r="BK44" s="18">
        <f t="shared" si="8"/>
        <v>1.02465E-2</v>
      </c>
      <c r="BL44" s="18">
        <f t="shared" si="8"/>
        <v>1.1192499999999999E-2</v>
      </c>
      <c r="BM44" s="18">
        <f t="shared" si="8"/>
        <v>1.2300199999999999E-2</v>
      </c>
      <c r="BN44" s="18">
        <f t="shared" si="8"/>
        <v>1.3607000000000001E-2</v>
      </c>
      <c r="BO44" s="18">
        <f t="shared" si="8"/>
        <v>1.51448E-2</v>
      </c>
      <c r="BP44" s="18">
        <f t="shared" si="8"/>
        <v>1.69499E-2</v>
      </c>
      <c r="BQ44" s="18">
        <f t="shared" si="8"/>
        <v>1.9056399999999998E-2</v>
      </c>
      <c r="BR44" s="18">
        <f t="shared" si="8"/>
        <v>2.1485199999999999E-2</v>
      </c>
      <c r="BS44" s="18">
        <f t="shared" si="8"/>
        <v>2.4204400000000001E-2</v>
      </c>
      <c r="BT44" s="18">
        <f t="shared" si="8"/>
        <v>2.7168899999999999E-2</v>
      </c>
      <c r="BU44" s="18">
        <f t="shared" si="8"/>
        <v>3.0331400000000001E-2</v>
      </c>
      <c r="BV44" s="18">
        <f t="shared" si="8"/>
        <v>3.3647900000000001E-2</v>
      </c>
      <c r="BW44" s="18">
        <f t="shared" si="8"/>
        <v>3.7099699999999999E-2</v>
      </c>
      <c r="BX44" s="18">
        <f t="shared" si="8"/>
        <v>4.0785799999999997E-2</v>
      </c>
      <c r="BY44" s="18">
        <f t="shared" si="8"/>
        <v>4.4831599999999999E-2</v>
      </c>
      <c r="BZ44" s="18">
        <f t="shared" si="8"/>
        <v>4.9363600000000001E-2</v>
      </c>
      <c r="CA44" s="18">
        <f t="shared" si="8"/>
        <v>5.4507199999999999E-2</v>
      </c>
      <c r="CB44" s="18">
        <f t="shared" si="8"/>
        <v>6.0363600000000003E-2</v>
      </c>
      <c r="CC44" s="18">
        <f t="shared" si="8"/>
        <v>6.6926200000000005E-2</v>
      </c>
      <c r="CD44" s="18">
        <f t="shared" si="8"/>
        <v>7.4161999999999992E-2</v>
      </c>
      <c r="CE44" s="18">
        <f t="shared" si="8"/>
        <v>8.2041299999999998E-2</v>
      </c>
      <c r="CF44" s="18">
        <f t="shared" ref="CF44:CZ44" si="9">CF43+0.1*CF43</f>
        <v>9.0529999999999999E-2</v>
      </c>
      <c r="CG44" s="18">
        <f t="shared" si="9"/>
        <v>9.9591799999999994E-2</v>
      </c>
      <c r="CH44" s="18">
        <f t="shared" si="9"/>
        <v>0.1091684</v>
      </c>
      <c r="CI44" s="18">
        <f t="shared" si="9"/>
        <v>0.1191971</v>
      </c>
      <c r="CJ44" s="18">
        <f t="shared" si="9"/>
        <v>0.12961300000000001</v>
      </c>
      <c r="CK44" s="18">
        <f t="shared" si="9"/>
        <v>0.14035449999999999</v>
      </c>
      <c r="CL44" s="18">
        <f t="shared" si="9"/>
        <v>0.1517637</v>
      </c>
      <c r="CM44" s="18">
        <f t="shared" si="9"/>
        <v>0.1636184</v>
      </c>
      <c r="CN44" s="18">
        <f t="shared" si="9"/>
        <v>0.1760891</v>
      </c>
      <c r="CO44" s="18">
        <f t="shared" si="9"/>
        <v>0.18927259999999999</v>
      </c>
      <c r="CP44" s="18">
        <f t="shared" si="9"/>
        <v>0.20326350000000001</v>
      </c>
      <c r="CQ44" s="18">
        <f t="shared" si="9"/>
        <v>0.2178176</v>
      </c>
      <c r="CR44" s="18">
        <f t="shared" si="9"/>
        <v>0.2327842</v>
      </c>
      <c r="CS44" s="18">
        <f t="shared" si="9"/>
        <v>0.24811930000000001</v>
      </c>
      <c r="CT44" s="18">
        <f t="shared" si="9"/>
        <v>0.2663276</v>
      </c>
      <c r="CU44" s="18">
        <f t="shared" si="9"/>
        <v>0.28610560000000002</v>
      </c>
      <c r="CV44" s="18">
        <f t="shared" si="9"/>
        <v>0.30364400000000002</v>
      </c>
      <c r="CW44" s="18">
        <f t="shared" si="9"/>
        <v>0.32261019999999996</v>
      </c>
      <c r="CX44" s="18">
        <f t="shared" si="9"/>
        <v>0.34320329999999999</v>
      </c>
      <c r="CY44" s="18">
        <f t="shared" si="9"/>
        <v>0.36563230000000002</v>
      </c>
      <c r="CZ44" s="18">
        <f t="shared" si="9"/>
        <v>0.39011500000000005</v>
      </c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20"/>
      <c r="DM44" s="20"/>
      <c r="DN44" s="18"/>
      <c r="DO44" s="18"/>
      <c r="DP44" s="18"/>
      <c r="DQ44" s="18"/>
      <c r="DR44" s="18"/>
      <c r="DS44" s="18"/>
      <c r="DT44" s="18"/>
      <c r="DU44" s="18"/>
      <c r="DV44" s="18"/>
      <c r="DW44" s="18"/>
      <c r="DX44" s="18"/>
      <c r="DY44" s="18"/>
      <c r="DZ44" s="18"/>
    </row>
    <row r="45" spans="1:130" s="48" customFormat="1">
      <c r="A45" s="45" t="s">
        <v>204</v>
      </c>
      <c r="B45" s="46" t="s">
        <v>205</v>
      </c>
      <c r="C45" s="45" t="s">
        <v>0</v>
      </c>
      <c r="D45" s="47"/>
      <c r="E45" s="47"/>
      <c r="F45" s="47"/>
      <c r="G45" s="47"/>
      <c r="H45" s="47"/>
      <c r="I45" s="47">
        <v>1.9000000000000001E-4</v>
      </c>
      <c r="J45" s="47">
        <v>1.56E-4</v>
      </c>
      <c r="K45" s="47">
        <v>1.3100000000000001E-4</v>
      </c>
      <c r="L45" s="47">
        <v>1.16E-4</v>
      </c>
      <c r="M45" s="47">
        <v>1.08E-4</v>
      </c>
      <c r="N45" s="47">
        <v>1.07E-4</v>
      </c>
      <c r="O45" s="47">
        <v>1.16E-4</v>
      </c>
      <c r="P45" s="47">
        <v>1.26E-4</v>
      </c>
      <c r="Q45" s="47">
        <v>1.35E-4</v>
      </c>
      <c r="R45" s="47">
        <v>1.46E-4</v>
      </c>
      <c r="S45" s="47">
        <v>1.56E-4</v>
      </c>
      <c r="T45" s="47">
        <v>1.66E-4</v>
      </c>
      <c r="U45" s="47">
        <v>1.7699999999999999E-4</v>
      </c>
      <c r="V45" s="47">
        <v>1.8699999999999999E-4</v>
      </c>
      <c r="W45" s="47">
        <v>1.9900000000000001E-4</v>
      </c>
      <c r="X45" s="47">
        <v>2.1000000000000001E-4</v>
      </c>
      <c r="Y45" s="47">
        <v>2.23E-4</v>
      </c>
      <c r="Z45" s="47">
        <v>2.3599999999999999E-4</v>
      </c>
      <c r="AA45" s="47">
        <v>2.5000000000000001E-4</v>
      </c>
      <c r="AB45" s="47">
        <v>2.6499999999999999E-4</v>
      </c>
      <c r="AC45" s="47">
        <v>2.81E-4</v>
      </c>
      <c r="AD45" s="47">
        <v>2.9799999999999998E-4</v>
      </c>
      <c r="AE45" s="47">
        <v>3.1500000000000001E-4</v>
      </c>
      <c r="AF45" s="47">
        <v>3.3500000000000001E-4</v>
      </c>
      <c r="AG45" s="47">
        <v>3.5599999999999998E-4</v>
      </c>
      <c r="AH45" s="47">
        <v>3.8000000000000002E-4</v>
      </c>
      <c r="AI45" s="47">
        <v>4.0400000000000001E-4</v>
      </c>
      <c r="AJ45" s="47">
        <v>4.3100000000000001E-4</v>
      </c>
      <c r="AK45" s="47">
        <v>4.6000000000000001E-4</v>
      </c>
      <c r="AL45" s="47">
        <v>4.9200000000000003E-4</v>
      </c>
      <c r="AM45" s="47">
        <v>5.2899999999999996E-4</v>
      </c>
      <c r="AN45" s="47">
        <v>5.5800000000000001E-4</v>
      </c>
      <c r="AO45" s="47">
        <v>5.9500000000000004E-4</v>
      </c>
      <c r="AP45" s="47">
        <v>6.3699999999999998E-4</v>
      </c>
      <c r="AQ45" s="47">
        <v>6.8599999999999998E-4</v>
      </c>
      <c r="AR45" s="47">
        <v>7.3899999999999997E-4</v>
      </c>
      <c r="AS45" s="47">
        <v>7.9600000000000005E-4</v>
      </c>
      <c r="AT45" s="47">
        <v>8.61E-4</v>
      </c>
      <c r="AU45" s="47">
        <v>9.3499999999999996E-4</v>
      </c>
      <c r="AV45" s="47">
        <v>1.021E-3</v>
      </c>
      <c r="AW45" s="47">
        <v>1.122E-3</v>
      </c>
      <c r="AX45" s="47">
        <v>1.2409999999999999E-3</v>
      </c>
      <c r="AY45" s="47">
        <v>1.374E-3</v>
      </c>
      <c r="AZ45" s="47">
        <v>1.518E-3</v>
      </c>
      <c r="BA45" s="47">
        <v>1.6720000000000001E-3</v>
      </c>
      <c r="BB45" s="47">
        <v>1.83E-3</v>
      </c>
      <c r="BC45" s="47">
        <v>1.9919999999999998E-3</v>
      </c>
      <c r="BD45" s="47">
        <v>2.1649999999999998E-3</v>
      </c>
      <c r="BE45" s="47">
        <v>2.3549999999999999E-3</v>
      </c>
      <c r="BF45" s="47">
        <v>2.5720000000000001E-3</v>
      </c>
      <c r="BG45" s="47">
        <v>2.823E-3</v>
      </c>
      <c r="BH45" s="47">
        <v>3.114E-3</v>
      </c>
      <c r="BI45" s="47">
        <v>3.4480000000000001E-3</v>
      </c>
      <c r="BJ45" s="47">
        <v>3.8249999999999998E-3</v>
      </c>
      <c r="BK45" s="47">
        <v>4.2459999999999998E-3</v>
      </c>
      <c r="BL45" s="47">
        <v>4.712E-3</v>
      </c>
      <c r="BM45" s="47">
        <v>5.2249999999999996E-3</v>
      </c>
      <c r="BN45" s="47">
        <v>5.7889999999999999E-3</v>
      </c>
      <c r="BO45" s="47">
        <v>6.4099999999999999E-3</v>
      </c>
      <c r="BP45" s="47">
        <v>7.0949999999999997E-3</v>
      </c>
      <c r="BQ45" s="47">
        <v>7.8490000000000001E-3</v>
      </c>
      <c r="BR45" s="47">
        <v>8.6859999999999993E-3</v>
      </c>
      <c r="BS45" s="47">
        <v>9.6460000000000001E-3</v>
      </c>
      <c r="BT45" s="47">
        <v>1.078E-2</v>
      </c>
      <c r="BU45" s="47">
        <v>1.2135E-2</v>
      </c>
      <c r="BV45" s="47">
        <v>1.3761000000000001E-2</v>
      </c>
      <c r="BW45" s="47">
        <v>1.5698E-2</v>
      </c>
      <c r="BX45" s="47">
        <v>1.7954999999999999E-2</v>
      </c>
      <c r="BY45" s="47">
        <v>2.0534E-2</v>
      </c>
      <c r="BZ45" s="47">
        <v>2.3435000000000001E-2</v>
      </c>
      <c r="CA45" s="47">
        <v>2.6658000000000001E-2</v>
      </c>
      <c r="CB45" s="47">
        <v>3.0204999999999999E-2</v>
      </c>
      <c r="CC45" s="47">
        <v>3.4079999999999999E-2</v>
      </c>
      <c r="CD45" s="47">
        <v>3.8288000000000003E-2</v>
      </c>
      <c r="CE45" s="47">
        <v>4.2832000000000002E-2</v>
      </c>
      <c r="CF45" s="47">
        <v>4.7717000000000002E-2</v>
      </c>
      <c r="CG45" s="47">
        <v>5.2949999999999997E-2</v>
      </c>
      <c r="CH45" s="47">
        <v>5.8546000000000001E-2</v>
      </c>
      <c r="CI45" s="47">
        <v>6.4522999999999997E-2</v>
      </c>
      <c r="CJ45" s="47">
        <v>7.0897000000000002E-2</v>
      </c>
      <c r="CK45" s="47">
        <v>7.7687000000000006E-2</v>
      </c>
      <c r="CL45" s="47">
        <v>8.5078000000000001E-2</v>
      </c>
      <c r="CM45" s="47">
        <v>9.3188999999999994E-2</v>
      </c>
      <c r="CN45" s="47">
        <v>0.10215</v>
      </c>
      <c r="CO45" s="47">
        <v>0.11261599999999999</v>
      </c>
      <c r="CP45" s="47">
        <v>0.124167</v>
      </c>
      <c r="CQ45" s="47">
        <v>0.13675100000000001</v>
      </c>
      <c r="CR45" s="47">
        <v>0.1507</v>
      </c>
      <c r="CS45" s="47">
        <v>0.16619700000000001</v>
      </c>
      <c r="CT45" s="47">
        <v>0.183448</v>
      </c>
      <c r="CU45" s="47">
        <v>0.20268800000000001</v>
      </c>
      <c r="CV45" s="47">
        <v>0.22417400000000001</v>
      </c>
      <c r="CW45" s="47">
        <v>0.24671499999999999</v>
      </c>
      <c r="CX45" s="47">
        <v>0.27099899999999999</v>
      </c>
      <c r="CY45" s="47">
        <v>0.297983</v>
      </c>
      <c r="CZ45" s="47">
        <v>0.327986</v>
      </c>
      <c r="DA45" s="47">
        <v>0.36136099999999999</v>
      </c>
      <c r="DB45" s="47">
        <v>0.39877400000000002</v>
      </c>
      <c r="DC45" s="47">
        <v>0.43982500000000002</v>
      </c>
      <c r="DD45" s="47">
        <v>0.48706700000000003</v>
      </c>
      <c r="DE45" s="47">
        <v>0.542018</v>
      </c>
      <c r="DF45" s="47">
        <v>0.60653999999999997</v>
      </c>
      <c r="DG45" s="47">
        <v>0.68256600000000001</v>
      </c>
      <c r="DH45" s="47">
        <v>0.77209399999999995</v>
      </c>
      <c r="DI45" s="47">
        <v>0.877193</v>
      </c>
      <c r="DJ45" s="47">
        <v>1</v>
      </c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</row>
    <row r="46" spans="1:130" s="48" customFormat="1">
      <c r="A46" s="45" t="s">
        <v>204</v>
      </c>
      <c r="B46" s="46" t="s">
        <v>230</v>
      </c>
      <c r="C46" s="45" t="s">
        <v>0</v>
      </c>
      <c r="D46" s="47"/>
      <c r="E46" s="47"/>
      <c r="F46" s="47"/>
      <c r="G46" s="47"/>
      <c r="H46" s="47"/>
      <c r="I46" s="47">
        <v>3.8000000000000002E-4</v>
      </c>
      <c r="J46" s="47">
        <v>3.5300000000000002E-4</v>
      </c>
      <c r="K46" s="47">
        <v>3.3599999999999998E-4</v>
      </c>
      <c r="L46" s="47">
        <v>3.2699999999999998E-4</v>
      </c>
      <c r="M46" s="47">
        <v>3.2400000000000001E-4</v>
      </c>
      <c r="N46" s="47">
        <v>3.2499999999999999E-4</v>
      </c>
      <c r="O46" s="47">
        <v>3.3100000000000002E-4</v>
      </c>
      <c r="P46" s="47">
        <v>3.3799999999999998E-4</v>
      </c>
      <c r="Q46" s="47">
        <v>3.4400000000000001E-4</v>
      </c>
      <c r="R46" s="47">
        <v>3.5199999999999999E-4</v>
      </c>
      <c r="S46" s="47">
        <v>3.6099999999999999E-4</v>
      </c>
      <c r="T46" s="47">
        <v>3.6999999999999999E-4</v>
      </c>
      <c r="U46" s="47">
        <v>3.8099999999999999E-4</v>
      </c>
      <c r="V46" s="47">
        <v>3.9199999999999999E-4</v>
      </c>
      <c r="W46" s="47">
        <v>4.0499999999999998E-4</v>
      </c>
      <c r="X46" s="47">
        <v>4.1899999999999999E-4</v>
      </c>
      <c r="Y46" s="47">
        <v>4.35E-4</v>
      </c>
      <c r="Z46" s="47">
        <v>4.5300000000000001E-4</v>
      </c>
      <c r="AA46" s="47">
        <v>4.7100000000000001E-4</v>
      </c>
      <c r="AB46" s="47">
        <v>4.9299999999999995E-4</v>
      </c>
      <c r="AC46" s="47">
        <v>5.1500000000000005E-4</v>
      </c>
      <c r="AD46" s="47">
        <v>5.4199999999999995E-4</v>
      </c>
      <c r="AE46" s="47">
        <v>5.6999999999999998E-4</v>
      </c>
      <c r="AF46" s="47">
        <v>6.02E-4</v>
      </c>
      <c r="AG46" s="47">
        <v>6.3599999999999996E-4</v>
      </c>
      <c r="AH46" s="47">
        <v>6.7400000000000001E-4</v>
      </c>
      <c r="AI46" s="47">
        <v>7.1699999999999997E-4</v>
      </c>
      <c r="AJ46" s="47">
        <v>7.6300000000000001E-4</v>
      </c>
      <c r="AK46" s="47">
        <v>8.1499999999999997E-4</v>
      </c>
      <c r="AL46" s="47">
        <v>8.7200000000000005E-4</v>
      </c>
      <c r="AM46" s="47">
        <v>9.5500000000000001E-4</v>
      </c>
      <c r="AN46" s="47">
        <v>1.008E-3</v>
      </c>
      <c r="AO46" s="47">
        <v>1.073E-3</v>
      </c>
      <c r="AP46" s="47">
        <v>1.1540000000000001E-3</v>
      </c>
      <c r="AQ46" s="47">
        <v>1.253E-3</v>
      </c>
      <c r="AR46" s="47">
        <v>1.3749999999999999E-3</v>
      </c>
      <c r="AS46" s="47">
        <v>1.5219999999999999E-3</v>
      </c>
      <c r="AT46" s="47">
        <v>1.6969999999999999E-3</v>
      </c>
      <c r="AU46" s="47">
        <v>1.905E-3</v>
      </c>
      <c r="AV46" s="47">
        <v>2.147E-3</v>
      </c>
      <c r="AW46" s="47">
        <v>2.4260000000000002E-3</v>
      </c>
      <c r="AX46" s="47">
        <v>2.745E-3</v>
      </c>
      <c r="AY46" s="47">
        <v>3.0999999999999999E-3</v>
      </c>
      <c r="AZ46" s="47">
        <v>3.4870000000000001E-3</v>
      </c>
      <c r="BA46" s="47">
        <v>3.9029999999999998E-3</v>
      </c>
      <c r="BB46" s="47">
        <v>4.3429999999999996E-3</v>
      </c>
      <c r="BC46" s="47">
        <v>4.8040000000000001E-3</v>
      </c>
      <c r="BD46" s="47">
        <v>5.2830000000000004E-3</v>
      </c>
      <c r="BE46" s="47">
        <v>5.7780000000000001E-3</v>
      </c>
      <c r="BF46" s="47">
        <v>6.2890000000000003E-3</v>
      </c>
      <c r="BG46" s="47">
        <v>6.8120000000000003E-3</v>
      </c>
      <c r="BH46" s="47">
        <v>7.3530000000000002E-3</v>
      </c>
      <c r="BI46" s="47">
        <v>7.9319999999999998E-3</v>
      </c>
      <c r="BJ46" s="47">
        <v>8.5769999999999996E-3</v>
      </c>
      <c r="BK46" s="47">
        <v>9.3150000000000004E-3</v>
      </c>
      <c r="BL46" s="47">
        <v>1.0175E-2</v>
      </c>
      <c r="BM46" s="47">
        <v>1.1181999999999999E-2</v>
      </c>
      <c r="BN46" s="47">
        <v>1.2370000000000001E-2</v>
      </c>
      <c r="BO46" s="47">
        <v>1.3768000000000001E-2</v>
      </c>
      <c r="BP46" s="47">
        <v>1.5409000000000001E-2</v>
      </c>
      <c r="BQ46" s="47">
        <v>1.7323999999999999E-2</v>
      </c>
      <c r="BR46" s="47">
        <v>1.9532000000000001E-2</v>
      </c>
      <c r="BS46" s="47">
        <v>2.2003999999999999E-2</v>
      </c>
      <c r="BT46" s="47">
        <v>2.4698999999999999E-2</v>
      </c>
      <c r="BU46" s="47">
        <v>2.7574000000000001E-2</v>
      </c>
      <c r="BV46" s="47">
        <v>3.0589000000000002E-2</v>
      </c>
      <c r="BW46" s="47">
        <v>3.3727E-2</v>
      </c>
      <c r="BX46" s="47">
        <v>3.7078E-2</v>
      </c>
      <c r="BY46" s="47">
        <v>4.0756000000000001E-2</v>
      </c>
      <c r="BZ46" s="47">
        <v>4.4875999999999999E-2</v>
      </c>
      <c r="CA46" s="47">
        <v>4.9551999999999999E-2</v>
      </c>
      <c r="CB46" s="47">
        <v>5.4876000000000001E-2</v>
      </c>
      <c r="CC46" s="47">
        <v>6.0842E-2</v>
      </c>
      <c r="CD46" s="47">
        <v>6.7419999999999994E-2</v>
      </c>
      <c r="CE46" s="47">
        <v>7.4582999999999997E-2</v>
      </c>
      <c r="CF46" s="47">
        <v>8.2299999999999998E-2</v>
      </c>
      <c r="CG46" s="47">
        <v>9.0537999999999993E-2</v>
      </c>
      <c r="CH46" s="47">
        <v>9.9243999999999999E-2</v>
      </c>
      <c r="CI46" s="47">
        <v>0.108361</v>
      </c>
      <c r="CJ46" s="47">
        <v>0.11783</v>
      </c>
      <c r="CK46" s="47">
        <v>0.12759499999999999</v>
      </c>
      <c r="CL46" s="47">
        <v>0.13796700000000001</v>
      </c>
      <c r="CM46" s="47">
        <v>0.14874399999999999</v>
      </c>
      <c r="CN46" s="47">
        <v>0.160081</v>
      </c>
      <c r="CO46" s="47">
        <v>0.172066</v>
      </c>
      <c r="CP46" s="47">
        <v>0.184785</v>
      </c>
      <c r="CQ46" s="47">
        <v>0.198016</v>
      </c>
      <c r="CR46" s="47">
        <v>0.211622</v>
      </c>
      <c r="CS46" s="47">
        <v>0.22556300000000001</v>
      </c>
      <c r="CT46" s="47">
        <v>0.242116</v>
      </c>
      <c r="CU46" s="47">
        <v>0.26009599999999999</v>
      </c>
      <c r="CV46" s="47">
        <v>0.27604000000000001</v>
      </c>
      <c r="CW46" s="47">
        <v>0.29328199999999999</v>
      </c>
      <c r="CX46" s="47">
        <v>0.31200299999999997</v>
      </c>
      <c r="CY46" s="47">
        <v>0.33239299999999999</v>
      </c>
      <c r="CZ46" s="47">
        <v>0.35465000000000002</v>
      </c>
      <c r="DA46" s="47">
        <v>0.37898399999999999</v>
      </c>
      <c r="DB46" s="47">
        <v>0.405613</v>
      </c>
      <c r="DC46" s="47">
        <v>0.43678</v>
      </c>
      <c r="DD46" s="47">
        <v>0.47472799999999998</v>
      </c>
      <c r="DE46" s="47">
        <v>0.52170099999999997</v>
      </c>
      <c r="DF46" s="47">
        <v>0.57993899999999998</v>
      </c>
      <c r="DG46" s="47">
        <v>0.65168700000000002</v>
      </c>
      <c r="DH46" s="47">
        <v>0.73918700000000004</v>
      </c>
      <c r="DI46" s="47">
        <v>0.84468299999999996</v>
      </c>
      <c r="DJ46" s="47">
        <v>1</v>
      </c>
      <c r="DK46" s="47"/>
      <c r="DL46" s="47"/>
      <c r="DM46" s="47"/>
      <c r="DN46" s="47"/>
      <c r="DO46" s="47"/>
      <c r="DP46" s="47"/>
      <c r="DQ46" s="47"/>
      <c r="DR46" s="47"/>
      <c r="DS46" s="47"/>
      <c r="DT46" s="47"/>
      <c r="DU46" s="47"/>
      <c r="DV46" s="47"/>
      <c r="DW46" s="47"/>
      <c r="DX46" s="47"/>
      <c r="DY46" s="47"/>
      <c r="DZ46" s="47"/>
    </row>
    <row r="47" spans="1:130" s="48" customFormat="1">
      <c r="A47" s="45" t="s">
        <v>204</v>
      </c>
      <c r="B47" s="46" t="s">
        <v>233</v>
      </c>
      <c r="C47" s="45" t="s">
        <v>0</v>
      </c>
      <c r="D47" s="47"/>
      <c r="E47" s="47"/>
      <c r="F47" s="47"/>
      <c r="G47" s="47"/>
      <c r="H47" s="47"/>
      <c r="I47" s="47">
        <v>3.4200000000000002E-4</v>
      </c>
      <c r="J47" s="47">
        <v>3.1799999999999998E-4</v>
      </c>
      <c r="K47" s="47">
        <v>3.0200000000000002E-4</v>
      </c>
      <c r="L47" s="47">
        <v>2.9399999999999999E-4</v>
      </c>
      <c r="M47" s="47">
        <v>2.92E-4</v>
      </c>
      <c r="N47" s="47">
        <v>2.9300000000000002E-4</v>
      </c>
      <c r="O47" s="47">
        <v>2.9799999999999998E-4</v>
      </c>
      <c r="P47" s="47">
        <v>3.0400000000000002E-4</v>
      </c>
      <c r="Q47" s="47">
        <v>3.1E-4</v>
      </c>
      <c r="R47" s="47">
        <v>3.1700000000000001E-4</v>
      </c>
      <c r="S47" s="47">
        <v>3.2499999999999999E-4</v>
      </c>
      <c r="T47" s="47">
        <v>3.3300000000000002E-4</v>
      </c>
      <c r="U47" s="47">
        <v>3.4299999999999999E-4</v>
      </c>
      <c r="V47" s="47">
        <v>3.5300000000000002E-4</v>
      </c>
      <c r="W47" s="47">
        <v>3.6499999999999998E-4</v>
      </c>
      <c r="X47" s="47">
        <v>3.77E-4</v>
      </c>
      <c r="Y47" s="47">
        <v>3.9199999999999999E-4</v>
      </c>
      <c r="Z47" s="47">
        <v>4.08E-4</v>
      </c>
      <c r="AA47" s="47">
        <v>4.2400000000000001E-4</v>
      </c>
      <c r="AB47" s="47">
        <v>4.44E-4</v>
      </c>
      <c r="AC47" s="47">
        <v>4.64E-4</v>
      </c>
      <c r="AD47" s="47">
        <v>4.8799999999999999E-4</v>
      </c>
      <c r="AE47" s="47">
        <v>5.13E-4</v>
      </c>
      <c r="AF47" s="47">
        <v>5.4199999999999995E-4</v>
      </c>
      <c r="AG47" s="47">
        <v>5.7200000000000003E-4</v>
      </c>
      <c r="AH47" s="47">
        <v>6.0700000000000001E-4</v>
      </c>
      <c r="AI47" s="47">
        <v>6.4499999999999996E-4</v>
      </c>
      <c r="AJ47" s="47">
        <v>6.87E-4</v>
      </c>
      <c r="AK47" s="47">
        <v>7.3399999999999995E-4</v>
      </c>
      <c r="AL47" s="47">
        <v>7.85E-4</v>
      </c>
      <c r="AM47" s="47">
        <v>8.5999999999999998E-4</v>
      </c>
      <c r="AN47" s="47">
        <v>9.0700000000000004E-4</v>
      </c>
      <c r="AO47" s="47">
        <v>9.6599999999999995E-4</v>
      </c>
      <c r="AP47" s="47">
        <v>1.039E-3</v>
      </c>
      <c r="AQ47" s="47">
        <v>1.1280000000000001E-3</v>
      </c>
      <c r="AR47" s="47">
        <v>1.238E-3</v>
      </c>
      <c r="AS47" s="47">
        <v>1.3699999999999999E-3</v>
      </c>
      <c r="AT47" s="47">
        <v>1.5269999999999999E-3</v>
      </c>
      <c r="AU47" s="47">
        <v>1.7149999999999999E-3</v>
      </c>
      <c r="AV47" s="47">
        <v>1.9319999999999999E-3</v>
      </c>
      <c r="AW47" s="47">
        <v>2.183E-3</v>
      </c>
      <c r="AX47" s="47">
        <v>2.4710000000000001E-3</v>
      </c>
      <c r="AY47" s="47">
        <v>2.7899999999999999E-3</v>
      </c>
      <c r="AZ47" s="47">
        <v>3.1380000000000002E-3</v>
      </c>
      <c r="BA47" s="47">
        <v>3.5130000000000001E-3</v>
      </c>
      <c r="BB47" s="47">
        <v>3.9090000000000001E-3</v>
      </c>
      <c r="BC47" s="47">
        <v>4.3239999999999997E-3</v>
      </c>
      <c r="BD47" s="47">
        <v>4.7549999999999997E-3</v>
      </c>
      <c r="BE47" s="47">
        <v>5.1999999999999998E-3</v>
      </c>
      <c r="BF47" s="47">
        <v>5.6600000000000001E-3</v>
      </c>
      <c r="BG47" s="47">
        <v>6.1310000000000002E-3</v>
      </c>
      <c r="BH47" s="47">
        <v>6.6179999999999998E-3</v>
      </c>
      <c r="BI47" s="47">
        <v>7.1390000000000004E-3</v>
      </c>
      <c r="BJ47" s="47">
        <v>7.7190000000000002E-3</v>
      </c>
      <c r="BK47" s="47">
        <v>8.3840000000000008E-3</v>
      </c>
      <c r="BL47" s="47">
        <v>9.1579999999999995E-3</v>
      </c>
      <c r="BM47" s="47">
        <v>1.0064E-2</v>
      </c>
      <c r="BN47" s="47">
        <v>1.1133000000000001E-2</v>
      </c>
      <c r="BO47" s="47">
        <v>1.2390999999999999E-2</v>
      </c>
      <c r="BP47" s="47">
        <v>1.3868E-2</v>
      </c>
      <c r="BQ47" s="47">
        <v>1.5592E-2</v>
      </c>
      <c r="BR47" s="47">
        <v>1.7579000000000001E-2</v>
      </c>
      <c r="BS47" s="47">
        <v>1.9803999999999999E-2</v>
      </c>
      <c r="BT47" s="47">
        <v>2.2228999999999999E-2</v>
      </c>
      <c r="BU47" s="47">
        <v>2.4816999999999999E-2</v>
      </c>
      <c r="BV47" s="47">
        <v>2.7529999999999999E-2</v>
      </c>
      <c r="BW47" s="47">
        <v>3.0353999999999999E-2</v>
      </c>
      <c r="BX47" s="47">
        <v>3.3369999999999997E-2</v>
      </c>
      <c r="BY47" s="47">
        <v>3.6679999999999997E-2</v>
      </c>
      <c r="BZ47" s="47">
        <v>4.0388E-2</v>
      </c>
      <c r="CA47" s="47">
        <v>4.4596999999999998E-2</v>
      </c>
      <c r="CB47" s="47">
        <v>4.9388000000000001E-2</v>
      </c>
      <c r="CC47" s="47">
        <v>5.4758000000000001E-2</v>
      </c>
      <c r="CD47" s="47">
        <v>6.0678000000000003E-2</v>
      </c>
      <c r="CE47" s="47">
        <v>6.7125000000000004E-2</v>
      </c>
      <c r="CF47" s="47">
        <v>7.4069999999999997E-2</v>
      </c>
      <c r="CG47" s="47">
        <v>8.1484000000000001E-2</v>
      </c>
      <c r="CH47" s="47">
        <v>8.9319999999999997E-2</v>
      </c>
      <c r="CI47" s="47">
        <v>9.7525000000000001E-2</v>
      </c>
      <c r="CJ47" s="47">
        <v>0.106047</v>
      </c>
      <c r="CK47" s="47">
        <v>0.11483599999999999</v>
      </c>
      <c r="CL47" s="47">
        <v>0.12417</v>
      </c>
      <c r="CM47" s="47">
        <v>0.13386999999999999</v>
      </c>
      <c r="CN47" s="47">
        <v>0.14407300000000001</v>
      </c>
      <c r="CO47" s="47">
        <v>0.154859</v>
      </c>
      <c r="CP47" s="47">
        <v>0.16630700000000001</v>
      </c>
      <c r="CQ47" s="47">
        <v>0.17821400000000001</v>
      </c>
      <c r="CR47" s="47">
        <v>0.19045999999999999</v>
      </c>
      <c r="CS47" s="47">
        <v>0.20300699999999999</v>
      </c>
      <c r="CT47" s="47">
        <v>0.21790399999999999</v>
      </c>
      <c r="CU47" s="47">
        <v>0.23408599999999999</v>
      </c>
      <c r="CV47" s="47">
        <v>0.24843599999999999</v>
      </c>
      <c r="CW47" s="47">
        <v>0.26395400000000002</v>
      </c>
      <c r="CX47" s="47">
        <v>0.28080300000000002</v>
      </c>
      <c r="CY47" s="47">
        <v>0.29915399999999998</v>
      </c>
      <c r="CZ47" s="47">
        <v>0.319185</v>
      </c>
      <c r="DA47" s="47">
        <v>0.341086</v>
      </c>
      <c r="DB47" s="47">
        <v>0.36505199999999999</v>
      </c>
      <c r="DC47" s="47">
        <v>0.39310200000000001</v>
      </c>
      <c r="DD47" s="47">
        <v>0.427255</v>
      </c>
      <c r="DE47" s="47">
        <v>0.46953099999999998</v>
      </c>
      <c r="DF47" s="47">
        <v>0.52194499999999999</v>
      </c>
      <c r="DG47" s="47">
        <v>0.58651799999999998</v>
      </c>
      <c r="DH47" s="47">
        <v>0.66526799999999997</v>
      </c>
      <c r="DI47" s="47">
        <v>0.76021499999999997</v>
      </c>
      <c r="DJ47" s="47">
        <v>1</v>
      </c>
      <c r="DK47" s="47"/>
      <c r="DL47" s="47"/>
      <c r="DM47" s="47"/>
      <c r="DN47" s="47"/>
      <c r="DO47" s="47"/>
      <c r="DP47" s="47"/>
      <c r="DQ47" s="47"/>
      <c r="DR47" s="47"/>
      <c r="DS47" s="47"/>
      <c r="DT47" s="47"/>
      <c r="DU47" s="47"/>
      <c r="DV47" s="47"/>
      <c r="DW47" s="47"/>
      <c r="DX47" s="47"/>
      <c r="DY47" s="47"/>
      <c r="DZ47" s="47"/>
    </row>
    <row r="48" spans="1:130" s="44" customFormat="1">
      <c r="A48" s="30" t="s">
        <v>204</v>
      </c>
      <c r="B48" s="31" t="s">
        <v>14</v>
      </c>
      <c r="C48" s="30" t="s">
        <v>0</v>
      </c>
      <c r="D48" s="33"/>
      <c r="E48" s="33">
        <v>5.31E-4</v>
      </c>
      <c r="F48" s="33">
        <v>3.4600000000000001E-4</v>
      </c>
      <c r="G48" s="33">
        <v>2.5799999999999998E-4</v>
      </c>
      <c r="H48" s="33">
        <v>1.94E-4</v>
      </c>
      <c r="I48" s="33">
        <v>1.75E-4</v>
      </c>
      <c r="J48" s="33">
        <v>1.63E-4</v>
      </c>
      <c r="K48" s="33">
        <v>1.5300000000000001E-4</v>
      </c>
      <c r="L48" s="33">
        <v>1.37E-4</v>
      </c>
      <c r="M48" s="33">
        <v>1.2999999999999999E-4</v>
      </c>
      <c r="N48" s="33">
        <v>1.3100000000000001E-4</v>
      </c>
      <c r="O48" s="33">
        <v>1.3799999999999999E-4</v>
      </c>
      <c r="P48" s="33">
        <v>1.4799999999999999E-4</v>
      </c>
      <c r="Q48" s="33">
        <v>1.64E-4</v>
      </c>
      <c r="R48" s="33">
        <v>1.8900000000000001E-4</v>
      </c>
      <c r="S48" s="33">
        <v>2.1599999999999999E-4</v>
      </c>
      <c r="T48" s="33">
        <v>2.42E-4</v>
      </c>
      <c r="U48" s="33">
        <v>2.6200000000000003E-4</v>
      </c>
      <c r="V48" s="33">
        <v>2.7300000000000002E-4</v>
      </c>
      <c r="W48" s="33">
        <v>2.7999999999999998E-4</v>
      </c>
      <c r="X48" s="33">
        <v>2.8400000000000002E-4</v>
      </c>
      <c r="Y48" s="33">
        <v>2.8600000000000001E-4</v>
      </c>
      <c r="Z48" s="33">
        <v>2.8899999999999998E-4</v>
      </c>
      <c r="AA48" s="33">
        <v>2.92E-4</v>
      </c>
      <c r="AB48" s="33">
        <v>2.9100000000000003E-4</v>
      </c>
      <c r="AC48" s="33">
        <v>2.9100000000000003E-4</v>
      </c>
      <c r="AD48" s="33">
        <v>2.9399999999999999E-4</v>
      </c>
      <c r="AE48" s="33">
        <v>3.0200000000000002E-4</v>
      </c>
      <c r="AF48" s="33">
        <v>3.1399999999999999E-4</v>
      </c>
      <c r="AG48" s="33">
        <v>3.3100000000000002E-4</v>
      </c>
      <c r="AH48" s="33">
        <v>3.5100000000000002E-4</v>
      </c>
      <c r="AI48" s="33">
        <v>3.7300000000000001E-4</v>
      </c>
      <c r="AJ48" s="33">
        <v>3.97E-4</v>
      </c>
      <c r="AK48" s="33">
        <v>4.2200000000000001E-4</v>
      </c>
      <c r="AL48" s="33">
        <v>4.4900000000000002E-4</v>
      </c>
      <c r="AM48" s="33">
        <v>4.7800000000000002E-4</v>
      </c>
      <c r="AN48" s="33">
        <v>5.1199999999999998E-4</v>
      </c>
      <c r="AO48" s="33">
        <v>5.5099999999999995E-4</v>
      </c>
      <c r="AP48" s="33">
        <v>5.9800000000000001E-4</v>
      </c>
      <c r="AQ48" s="33">
        <v>6.5200000000000002E-4</v>
      </c>
      <c r="AR48" s="33">
        <v>7.0899999999999999E-4</v>
      </c>
      <c r="AS48" s="33">
        <v>7.6800000000000002E-4</v>
      </c>
      <c r="AT48" s="33">
        <v>8.25E-4</v>
      </c>
      <c r="AU48" s="33">
        <v>8.7699999999999996E-4</v>
      </c>
      <c r="AV48" s="33">
        <v>9.2299999999999999E-4</v>
      </c>
      <c r="AW48" s="33">
        <v>9.7300000000000002E-4</v>
      </c>
      <c r="AX48" s="33">
        <v>1.0330000000000001E-3</v>
      </c>
      <c r="AY48" s="33">
        <v>1.1119999999999999E-3</v>
      </c>
      <c r="AZ48" s="33">
        <v>1.206E-3</v>
      </c>
      <c r="BA48" s="33">
        <v>1.31E-3</v>
      </c>
      <c r="BB48" s="33">
        <v>1.428E-3</v>
      </c>
      <c r="BC48" s="33">
        <v>1.5679999999999999E-3</v>
      </c>
      <c r="BD48" s="33">
        <v>1.7340000000000001E-3</v>
      </c>
      <c r="BE48" s="33">
        <v>1.9070000000000001E-3</v>
      </c>
      <c r="BF48" s="33">
        <v>2.0839999999999999E-3</v>
      </c>
      <c r="BG48" s="33">
        <v>2.294E-3</v>
      </c>
      <c r="BH48" s="33">
        <v>2.5630000000000002E-3</v>
      </c>
      <c r="BI48" s="33">
        <v>2.9190000000000002E-3</v>
      </c>
      <c r="BJ48" s="33">
        <v>3.359E-3</v>
      </c>
      <c r="BK48" s="33">
        <v>3.8630000000000001E-3</v>
      </c>
      <c r="BL48" s="33">
        <v>4.4390000000000002E-3</v>
      </c>
      <c r="BM48" s="33">
        <v>5.0930000000000003E-3</v>
      </c>
      <c r="BN48" s="33">
        <v>5.8320000000000004E-3</v>
      </c>
      <c r="BO48" s="33">
        <v>6.6769999999999998E-3</v>
      </c>
      <c r="BP48" s="33">
        <v>7.6210000000000002E-3</v>
      </c>
      <c r="BQ48" s="33">
        <v>8.6359999999999996E-3</v>
      </c>
      <c r="BR48" s="33">
        <v>9.6939999999999995E-3</v>
      </c>
      <c r="BS48" s="33">
        <v>1.0763999999999999E-2</v>
      </c>
      <c r="BT48" s="33">
        <v>1.1762999999999999E-2</v>
      </c>
      <c r="BU48" s="33">
        <v>1.2709E-2</v>
      </c>
      <c r="BV48" s="33">
        <v>1.3729999999999999E-2</v>
      </c>
      <c r="BW48" s="33">
        <v>1.4952999999999999E-2</v>
      </c>
      <c r="BX48" s="33">
        <v>1.6506E-2</v>
      </c>
      <c r="BY48" s="33">
        <v>1.8343999999999999E-2</v>
      </c>
      <c r="BZ48" s="33">
        <v>2.0381E-2</v>
      </c>
      <c r="CA48" s="33">
        <v>2.2686000000000001E-2</v>
      </c>
      <c r="CB48" s="33">
        <v>2.5325E-2</v>
      </c>
      <c r="CC48" s="33">
        <v>2.8365999999999999E-2</v>
      </c>
      <c r="CD48" s="33">
        <v>3.1726999999999998E-2</v>
      </c>
      <c r="CE48" s="33">
        <v>3.5361999999999998E-2</v>
      </c>
      <c r="CF48" s="33">
        <v>3.9396E-2</v>
      </c>
      <c r="CG48" s="33">
        <v>4.3951999999999998E-2</v>
      </c>
      <c r="CH48" s="33">
        <v>4.9153000000000002E-2</v>
      </c>
      <c r="CI48" s="33">
        <v>5.4857000000000003E-2</v>
      </c>
      <c r="CJ48" s="33">
        <v>6.0978999999999998E-2</v>
      </c>
      <c r="CK48" s="33">
        <v>6.7738000000000007E-2</v>
      </c>
      <c r="CL48" s="33">
        <v>7.5346999999999997E-2</v>
      </c>
      <c r="CM48" s="33">
        <v>8.4023E-2</v>
      </c>
      <c r="CN48" s="33">
        <v>9.3820000000000001E-2</v>
      </c>
      <c r="CO48" s="33">
        <v>0.10459400000000001</v>
      </c>
      <c r="CP48" s="33">
        <v>0.11626499999999999</v>
      </c>
      <c r="CQ48" s="33">
        <v>0.128751</v>
      </c>
      <c r="CR48" s="33">
        <v>0.14197299999999999</v>
      </c>
      <c r="CS48" s="33">
        <v>0.15593099999999999</v>
      </c>
      <c r="CT48" s="33">
        <v>0.170677</v>
      </c>
      <c r="CU48" s="33">
        <v>0.18621299999999999</v>
      </c>
      <c r="CV48" s="33">
        <v>0.202538</v>
      </c>
      <c r="CW48" s="33">
        <v>0.21965499999999999</v>
      </c>
      <c r="CX48" s="33">
        <v>0.23771300000000001</v>
      </c>
      <c r="CY48" s="33">
        <v>0.256712</v>
      </c>
      <c r="CZ48" s="33">
        <v>0.27642699999999998</v>
      </c>
      <c r="DA48" s="33">
        <v>0.29662899999999998</v>
      </c>
      <c r="DB48" s="33">
        <v>0.31709300000000001</v>
      </c>
      <c r="DC48" s="33">
        <v>0.338505</v>
      </c>
      <c r="DD48" s="33">
        <v>0.361016</v>
      </c>
      <c r="DE48" s="33">
        <v>0.38359700000000002</v>
      </c>
      <c r="DF48" s="33">
        <v>0.40521699999999999</v>
      </c>
      <c r="DG48" s="33">
        <v>0.424846</v>
      </c>
      <c r="DH48" s="33">
        <v>0.44436799999999999</v>
      </c>
      <c r="DI48" s="33">
        <v>0.46446900000000002</v>
      </c>
      <c r="DJ48" s="33">
        <v>0.482325</v>
      </c>
      <c r="DK48" s="33">
        <v>0.49510999999999999</v>
      </c>
      <c r="DL48" s="33">
        <v>0.5</v>
      </c>
      <c r="DM48" s="33">
        <v>0.5</v>
      </c>
      <c r="DN48" s="33">
        <v>0.5</v>
      </c>
      <c r="DO48" s="33">
        <v>0.5</v>
      </c>
      <c r="DP48" s="33">
        <v>0.5</v>
      </c>
      <c r="DQ48" s="33">
        <v>0.5</v>
      </c>
      <c r="DR48" s="33">
        <v>0.5</v>
      </c>
      <c r="DS48" s="33">
        <v>0.5</v>
      </c>
      <c r="DT48" s="33">
        <v>1</v>
      </c>
      <c r="DU48" s="33"/>
      <c r="DV48" s="33"/>
      <c r="DW48" s="33"/>
      <c r="DX48" s="33"/>
      <c r="DY48" s="33"/>
      <c r="DZ48" s="33"/>
    </row>
    <row r="49" spans="1:130" s="40" customFormat="1">
      <c r="A49" s="35" t="s">
        <v>204</v>
      </c>
      <c r="B49" s="36" t="s">
        <v>14</v>
      </c>
      <c r="C49" s="35" t="s">
        <v>0</v>
      </c>
      <c r="D49" s="37">
        <v>0</v>
      </c>
      <c r="E49" s="38">
        <v>5.31E-4</v>
      </c>
      <c r="F49" s="38">
        <v>3.4600000000000001E-4</v>
      </c>
      <c r="G49" s="38">
        <v>2.5799999999999998E-4</v>
      </c>
      <c r="H49" s="38">
        <v>1.94E-4</v>
      </c>
      <c r="I49" s="38">
        <v>1.75E-4</v>
      </c>
      <c r="J49" s="38">
        <v>1.63E-4</v>
      </c>
      <c r="K49" s="38">
        <v>1.5300000000000001E-4</v>
      </c>
      <c r="L49" s="38">
        <v>1.37E-4</v>
      </c>
      <c r="M49" s="38">
        <v>1.2999999999999999E-4</v>
      </c>
      <c r="N49" s="38">
        <v>1.3100000000000001E-4</v>
      </c>
      <c r="O49" s="38">
        <v>1.3799999999999999E-4</v>
      </c>
      <c r="P49" s="38">
        <v>1.4799999999999999E-4</v>
      </c>
      <c r="Q49" s="38">
        <v>1.64E-4</v>
      </c>
      <c r="R49" s="38">
        <v>1.8900000000000001E-4</v>
      </c>
      <c r="S49" s="38">
        <v>2.1599999999999999E-4</v>
      </c>
      <c r="T49" s="38">
        <v>2.42E-4</v>
      </c>
      <c r="U49" s="38">
        <v>2.6200000000000003E-4</v>
      </c>
      <c r="V49" s="38">
        <v>2.7300000000000002E-4</v>
      </c>
      <c r="W49" s="38">
        <v>2.7999999999999998E-4</v>
      </c>
      <c r="X49" s="38">
        <v>2.8400000000000002E-4</v>
      </c>
      <c r="Y49" s="38">
        <v>2.8600000000000001E-4</v>
      </c>
      <c r="Z49" s="38">
        <v>2.8899999999999998E-4</v>
      </c>
      <c r="AA49" s="38">
        <v>2.92E-4</v>
      </c>
      <c r="AB49" s="38">
        <v>2.9100000000000003E-4</v>
      </c>
      <c r="AC49" s="38">
        <v>2.9100000000000003E-4</v>
      </c>
      <c r="AD49" s="38">
        <v>2.9399999999999999E-4</v>
      </c>
      <c r="AE49" s="38">
        <v>3.0200000000000002E-4</v>
      </c>
      <c r="AF49" s="38">
        <v>3.1399999999999999E-4</v>
      </c>
      <c r="AG49" s="38">
        <v>3.3100000000000002E-4</v>
      </c>
      <c r="AH49" s="38">
        <v>3.5100000000000002E-4</v>
      </c>
      <c r="AI49" s="38">
        <v>3.7300000000000001E-4</v>
      </c>
      <c r="AJ49" s="38">
        <v>3.97E-4</v>
      </c>
      <c r="AK49" s="38">
        <v>4.2200000000000001E-4</v>
      </c>
      <c r="AL49" s="38">
        <v>4.4900000000000002E-4</v>
      </c>
      <c r="AM49" s="38">
        <v>4.7800000000000002E-4</v>
      </c>
      <c r="AN49" s="38">
        <v>5.1199999999999998E-4</v>
      </c>
      <c r="AO49" s="38">
        <v>5.5099999999999995E-4</v>
      </c>
      <c r="AP49" s="38">
        <v>5.9800000000000001E-4</v>
      </c>
      <c r="AQ49" s="38">
        <v>6.5200000000000002E-4</v>
      </c>
      <c r="AR49" s="38">
        <v>7.0899999999999999E-4</v>
      </c>
      <c r="AS49" s="38">
        <v>7.6800000000000002E-4</v>
      </c>
      <c r="AT49" s="38">
        <v>8.25E-4</v>
      </c>
      <c r="AU49" s="38">
        <v>8.7699999999999996E-4</v>
      </c>
      <c r="AV49" s="38">
        <v>9.2299999999999999E-4</v>
      </c>
      <c r="AW49" s="38">
        <v>9.7300000000000002E-4</v>
      </c>
      <c r="AX49" s="38">
        <v>1.0330000000000001E-3</v>
      </c>
      <c r="AY49" s="38">
        <v>1.1119999999999999E-3</v>
      </c>
      <c r="AZ49" s="38">
        <v>1.206E-3</v>
      </c>
      <c r="BA49" s="38">
        <v>1.31E-3</v>
      </c>
      <c r="BB49" s="38">
        <v>1.428E-3</v>
      </c>
      <c r="BC49" s="38">
        <v>1.5679999999999999E-3</v>
      </c>
      <c r="BD49" s="38">
        <v>1.7340000000000001E-3</v>
      </c>
      <c r="BE49" s="38">
        <v>1.9070000000000001E-3</v>
      </c>
      <c r="BF49" s="38">
        <v>2.0839999999999999E-3</v>
      </c>
      <c r="BG49" s="38">
        <v>2.294E-3</v>
      </c>
      <c r="BH49" s="38">
        <v>2.5630000000000002E-3</v>
      </c>
      <c r="BI49" s="38">
        <v>2.9190000000000002E-3</v>
      </c>
      <c r="BJ49" s="38">
        <v>3.359E-3</v>
      </c>
      <c r="BK49" s="38">
        <v>3.8630000000000001E-3</v>
      </c>
      <c r="BL49" s="38">
        <v>4.4390000000000002E-3</v>
      </c>
      <c r="BM49" s="38">
        <v>5.0930000000000003E-3</v>
      </c>
      <c r="BN49" s="38">
        <v>5.8320000000000004E-3</v>
      </c>
      <c r="BO49" s="38">
        <v>6.6769999999999998E-3</v>
      </c>
      <c r="BP49" s="38">
        <v>7.6210000000000002E-3</v>
      </c>
      <c r="BQ49" s="38">
        <v>8.6359999999999996E-3</v>
      </c>
      <c r="BR49" s="38">
        <v>9.6939999999999995E-3</v>
      </c>
      <c r="BS49" s="38">
        <v>1.0763999999999999E-2</v>
      </c>
      <c r="BT49" s="38">
        <v>1.1762999999999999E-2</v>
      </c>
      <c r="BU49" s="38">
        <v>1.2709E-2</v>
      </c>
      <c r="BV49" s="38">
        <v>1.3729999999999999E-2</v>
      </c>
      <c r="BW49" s="38">
        <v>1.4952999999999999E-2</v>
      </c>
      <c r="BX49" s="38">
        <v>1.6506E-2</v>
      </c>
      <c r="BY49" s="38">
        <v>1.8343999999999999E-2</v>
      </c>
      <c r="BZ49" s="38">
        <v>2.0381E-2</v>
      </c>
      <c r="CA49" s="38">
        <v>2.2686000000000001E-2</v>
      </c>
      <c r="CB49" s="38">
        <v>2.5325E-2</v>
      </c>
      <c r="CC49" s="38">
        <v>2.8365999999999999E-2</v>
      </c>
      <c r="CD49" s="38">
        <v>3.1726999999999998E-2</v>
      </c>
      <c r="CE49" s="38">
        <v>3.5361999999999998E-2</v>
      </c>
      <c r="CF49" s="38">
        <v>3.9396E-2</v>
      </c>
      <c r="CG49" s="38">
        <v>4.3951999999999998E-2</v>
      </c>
      <c r="CH49" s="38">
        <v>4.9153000000000002E-2</v>
      </c>
      <c r="CI49" s="38">
        <v>5.4857000000000003E-2</v>
      </c>
      <c r="CJ49" s="38">
        <v>6.0978999999999998E-2</v>
      </c>
      <c r="CK49" s="38">
        <v>6.7738000000000007E-2</v>
      </c>
      <c r="CL49" s="38">
        <v>7.5346999999999997E-2</v>
      </c>
      <c r="CM49" s="38">
        <v>8.4023E-2</v>
      </c>
      <c r="CN49" s="38">
        <v>9.3820000000000001E-2</v>
      </c>
      <c r="CO49" s="38">
        <v>0.10459400000000001</v>
      </c>
      <c r="CP49" s="38">
        <v>0.11626499999999999</v>
      </c>
      <c r="CQ49" s="38">
        <v>0.128751</v>
      </c>
      <c r="CR49" s="38">
        <v>0.14197299999999999</v>
      </c>
      <c r="CS49" s="38">
        <v>0.15593099999999999</v>
      </c>
      <c r="CT49" s="38">
        <v>0.170677</v>
      </c>
      <c r="CU49" s="38">
        <v>0.18621299999999999</v>
      </c>
      <c r="CV49" s="38">
        <v>0.202538</v>
      </c>
      <c r="CW49" s="38">
        <v>0.21965499999999999</v>
      </c>
      <c r="CX49" s="38">
        <v>0.23771300000000001</v>
      </c>
      <c r="CY49" s="38">
        <v>0.256712</v>
      </c>
      <c r="CZ49" s="38">
        <v>0.27642699999999998</v>
      </c>
      <c r="DA49" s="38">
        <v>0.29662899999999998</v>
      </c>
      <c r="DB49" s="38">
        <v>0.31709300000000001</v>
      </c>
      <c r="DC49" s="38">
        <v>0.338505</v>
      </c>
      <c r="DD49" s="38">
        <v>0.361016</v>
      </c>
      <c r="DE49" s="38">
        <v>0.38359700000000002</v>
      </c>
      <c r="DF49" s="38">
        <v>0.40521699999999999</v>
      </c>
      <c r="DG49" s="38">
        <v>0.424846</v>
      </c>
      <c r="DH49" s="38">
        <v>0.44436799999999999</v>
      </c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</row>
    <row r="50" spans="1:130" s="44" customFormat="1">
      <c r="A50" s="30" t="s">
        <v>204</v>
      </c>
      <c r="B50" s="31" t="s">
        <v>207</v>
      </c>
      <c r="C50" s="30" t="s">
        <v>0</v>
      </c>
      <c r="D50" s="33"/>
      <c r="E50" s="33">
        <v>5.9199999999999997E-4</v>
      </c>
      <c r="F50" s="33">
        <v>4.0000000000000002E-4</v>
      </c>
      <c r="G50" s="33">
        <v>3.3199999999999999E-4</v>
      </c>
      <c r="H50" s="33">
        <v>2.5900000000000001E-4</v>
      </c>
      <c r="I50" s="33">
        <v>2.3699999999999999E-4</v>
      </c>
      <c r="J50" s="33">
        <v>2.2699999999999999E-4</v>
      </c>
      <c r="K50" s="33">
        <v>2.1699999999999999E-4</v>
      </c>
      <c r="L50" s="33">
        <v>2.0100000000000001E-4</v>
      </c>
      <c r="M50" s="33">
        <v>1.94E-4</v>
      </c>
      <c r="N50" s="33">
        <v>1.9699999999999999E-4</v>
      </c>
      <c r="O50" s="33">
        <v>2.0799999999999999E-4</v>
      </c>
      <c r="P50" s="33">
        <v>2.2599999999999999E-4</v>
      </c>
      <c r="Q50" s="33">
        <v>2.5500000000000002E-4</v>
      </c>
      <c r="R50" s="33">
        <v>2.9700000000000001E-4</v>
      </c>
      <c r="S50" s="33">
        <v>3.4499999999999998E-4</v>
      </c>
      <c r="T50" s="33">
        <v>3.9100000000000002E-4</v>
      </c>
      <c r="U50" s="33">
        <v>4.2999999999999999E-4</v>
      </c>
      <c r="V50" s="33">
        <v>4.6000000000000001E-4</v>
      </c>
      <c r="W50" s="33">
        <v>4.84E-4</v>
      </c>
      <c r="X50" s="33">
        <v>5.0699999999999996E-4</v>
      </c>
      <c r="Y50" s="33">
        <v>5.2999999999999998E-4</v>
      </c>
      <c r="Z50" s="33">
        <v>5.5599999999999996E-4</v>
      </c>
      <c r="AA50" s="33">
        <v>5.8900000000000001E-4</v>
      </c>
      <c r="AB50" s="33">
        <v>6.2399999999999999E-4</v>
      </c>
      <c r="AC50" s="33">
        <v>6.6100000000000002E-4</v>
      </c>
      <c r="AD50" s="33">
        <v>6.96E-4</v>
      </c>
      <c r="AE50" s="33">
        <v>7.27E-4</v>
      </c>
      <c r="AF50" s="33">
        <v>7.54E-4</v>
      </c>
      <c r="AG50" s="33">
        <v>7.7899999999999996E-4</v>
      </c>
      <c r="AH50" s="33">
        <v>8.0099999999999995E-4</v>
      </c>
      <c r="AI50" s="33">
        <v>8.2100000000000001E-4</v>
      </c>
      <c r="AJ50" s="33">
        <v>8.3900000000000001E-4</v>
      </c>
      <c r="AK50" s="33">
        <v>8.4800000000000001E-4</v>
      </c>
      <c r="AL50" s="33">
        <v>8.4900000000000004E-4</v>
      </c>
      <c r="AM50" s="33">
        <v>8.5099999999999998E-4</v>
      </c>
      <c r="AN50" s="33">
        <v>8.6200000000000003E-4</v>
      </c>
      <c r="AO50" s="33">
        <v>8.9099999999999997E-4</v>
      </c>
      <c r="AP50" s="33">
        <v>9.3899999999999995E-4</v>
      </c>
      <c r="AQ50" s="33">
        <v>9.990000000000001E-4</v>
      </c>
      <c r="AR50" s="33">
        <v>1.072E-3</v>
      </c>
      <c r="AS50" s="33">
        <v>1.1559999999999999E-3</v>
      </c>
      <c r="AT50" s="33">
        <v>1.2520000000000001E-3</v>
      </c>
      <c r="AU50" s="33">
        <v>1.3519999999999999E-3</v>
      </c>
      <c r="AV50" s="33">
        <v>1.4580000000000001E-3</v>
      </c>
      <c r="AW50" s="33">
        <v>1.578E-3</v>
      </c>
      <c r="AX50" s="33">
        <v>1.722E-3</v>
      </c>
      <c r="AY50" s="33">
        <v>1.8990000000000001E-3</v>
      </c>
      <c r="AZ50" s="33">
        <v>2.1020000000000001E-3</v>
      </c>
      <c r="BA50" s="33">
        <v>2.3259999999999999E-3</v>
      </c>
      <c r="BB50" s="33">
        <v>2.5790000000000001E-3</v>
      </c>
      <c r="BC50" s="33">
        <v>2.872E-3</v>
      </c>
      <c r="BD50" s="33">
        <v>3.2130000000000001E-3</v>
      </c>
      <c r="BE50" s="33">
        <v>3.5839999999999999E-3</v>
      </c>
      <c r="BF50" s="33">
        <v>3.9789999999999999E-3</v>
      </c>
      <c r="BG50" s="33">
        <v>4.4250000000000001E-3</v>
      </c>
      <c r="BH50" s="33">
        <v>4.9490000000000003E-3</v>
      </c>
      <c r="BI50" s="33">
        <v>5.581E-3</v>
      </c>
      <c r="BJ50" s="33">
        <v>6.3E-3</v>
      </c>
      <c r="BK50" s="33">
        <v>7.0899999999999999E-3</v>
      </c>
      <c r="BL50" s="33">
        <v>7.9760000000000005E-3</v>
      </c>
      <c r="BM50" s="33">
        <v>8.9859999999999992E-3</v>
      </c>
      <c r="BN50" s="33">
        <v>1.0147E-2</v>
      </c>
      <c r="BO50" s="33">
        <v>1.1471E-2</v>
      </c>
      <c r="BP50" s="33">
        <v>1.294E-2</v>
      </c>
      <c r="BQ50" s="33">
        <v>1.4534999999999999E-2</v>
      </c>
      <c r="BR50" s="33">
        <v>1.6239E-2</v>
      </c>
      <c r="BS50" s="33">
        <v>1.8034000000000001E-2</v>
      </c>
      <c r="BT50" s="33">
        <v>1.9859000000000002E-2</v>
      </c>
      <c r="BU50" s="33">
        <v>2.1728999999999998E-2</v>
      </c>
      <c r="BV50" s="33">
        <v>2.3730000000000001E-2</v>
      </c>
      <c r="BW50" s="33">
        <v>2.5950999999999998E-2</v>
      </c>
      <c r="BX50" s="33">
        <v>2.8480999999999999E-2</v>
      </c>
      <c r="BY50" s="33">
        <v>3.1201E-2</v>
      </c>
      <c r="BZ50" s="33">
        <v>3.4050999999999998E-2</v>
      </c>
      <c r="CA50" s="33">
        <v>3.7211000000000001E-2</v>
      </c>
      <c r="CB50" s="33">
        <v>4.0857999999999998E-2</v>
      </c>
      <c r="CC50" s="33">
        <v>4.5171000000000003E-2</v>
      </c>
      <c r="CD50" s="33">
        <v>5.0210999999999999E-2</v>
      </c>
      <c r="CE50" s="33">
        <v>5.5861000000000001E-2</v>
      </c>
      <c r="CF50" s="33">
        <v>6.2026999999999999E-2</v>
      </c>
      <c r="CG50" s="33">
        <v>6.8614999999999995E-2</v>
      </c>
      <c r="CH50" s="33">
        <v>7.5532000000000002E-2</v>
      </c>
      <c r="CI50" s="33">
        <v>8.251E-2</v>
      </c>
      <c r="CJ50" s="33">
        <v>8.9612999999999998E-2</v>
      </c>
      <c r="CK50" s="33">
        <v>9.7239999999999993E-2</v>
      </c>
      <c r="CL50" s="33">
        <v>0.105792</v>
      </c>
      <c r="CM50" s="33">
        <v>0.115671</v>
      </c>
      <c r="CN50" s="33">
        <v>0.12698000000000001</v>
      </c>
      <c r="CO50" s="33">
        <v>0.13945199999999999</v>
      </c>
      <c r="CP50" s="33">
        <v>0.15293100000000001</v>
      </c>
      <c r="CQ50" s="33">
        <v>0.16725999999999999</v>
      </c>
      <c r="CR50" s="33">
        <v>0.182281</v>
      </c>
      <c r="CS50" s="33">
        <v>0.19839200000000001</v>
      </c>
      <c r="CT50" s="33">
        <v>0.2157</v>
      </c>
      <c r="CU50" s="33">
        <v>0.23360600000000001</v>
      </c>
      <c r="CV50" s="33">
        <v>0.25151000000000001</v>
      </c>
      <c r="CW50" s="33">
        <v>0.26881500000000003</v>
      </c>
      <c r="CX50" s="33">
        <v>0.285277</v>
      </c>
      <c r="CY50" s="33">
        <v>0.30129800000000001</v>
      </c>
      <c r="CZ50" s="33">
        <v>0.31723800000000002</v>
      </c>
      <c r="DA50" s="33">
        <v>0.33346100000000001</v>
      </c>
      <c r="DB50" s="33">
        <v>0.35032999999999997</v>
      </c>
      <c r="DC50" s="33">
        <v>0.36854199999999998</v>
      </c>
      <c r="DD50" s="33">
        <v>0.38785500000000001</v>
      </c>
      <c r="DE50" s="33">
        <v>0.40722399999999997</v>
      </c>
      <c r="DF50" s="33">
        <v>0.42559900000000001</v>
      </c>
      <c r="DG50" s="33">
        <v>0.44193500000000002</v>
      </c>
      <c r="DH50" s="33">
        <v>0.45755299999999999</v>
      </c>
      <c r="DI50" s="33">
        <v>0.47315000000000002</v>
      </c>
      <c r="DJ50" s="33">
        <v>0.48674499999999998</v>
      </c>
      <c r="DK50" s="33">
        <v>0.49635600000000002</v>
      </c>
      <c r="DL50" s="33">
        <v>0.5</v>
      </c>
      <c r="DM50" s="33">
        <v>0.5</v>
      </c>
      <c r="DN50" s="33">
        <v>0.5</v>
      </c>
      <c r="DO50" s="33">
        <v>0.5</v>
      </c>
      <c r="DP50" s="33">
        <v>0.5</v>
      </c>
      <c r="DQ50" s="33">
        <v>0.5</v>
      </c>
      <c r="DR50" s="33">
        <v>0.5</v>
      </c>
      <c r="DS50" s="33">
        <v>0.5</v>
      </c>
      <c r="DT50" s="33">
        <v>1</v>
      </c>
      <c r="DU50" s="33"/>
      <c r="DV50" s="33"/>
      <c r="DW50" s="33"/>
      <c r="DX50" s="33"/>
      <c r="DY50" s="33"/>
      <c r="DZ50" s="33"/>
    </row>
    <row r="51" spans="1:130" s="40" customFormat="1">
      <c r="A51" s="35" t="s">
        <v>204</v>
      </c>
      <c r="B51" s="36" t="s">
        <v>207</v>
      </c>
      <c r="C51" s="35" t="s">
        <v>0</v>
      </c>
      <c r="D51" s="37">
        <v>0</v>
      </c>
      <c r="E51" s="38">
        <v>5.9199999999999997E-4</v>
      </c>
      <c r="F51" s="38">
        <v>4.0000000000000002E-4</v>
      </c>
      <c r="G51" s="38">
        <v>3.3199999999999999E-4</v>
      </c>
      <c r="H51" s="38">
        <v>2.5900000000000001E-4</v>
      </c>
      <c r="I51" s="38">
        <v>2.3699999999999999E-4</v>
      </c>
      <c r="J51" s="38">
        <v>2.2699999999999999E-4</v>
      </c>
      <c r="K51" s="38">
        <v>2.1699999999999999E-4</v>
      </c>
      <c r="L51" s="38">
        <v>2.0100000000000001E-4</v>
      </c>
      <c r="M51" s="38">
        <v>1.94E-4</v>
      </c>
      <c r="N51" s="38">
        <v>1.9699999999999999E-4</v>
      </c>
      <c r="O51" s="38">
        <v>2.0799999999999999E-4</v>
      </c>
      <c r="P51" s="38">
        <v>2.2599999999999999E-4</v>
      </c>
      <c r="Q51" s="38">
        <v>2.5500000000000002E-4</v>
      </c>
      <c r="R51" s="38">
        <v>2.9700000000000001E-4</v>
      </c>
      <c r="S51" s="38">
        <v>3.4499999999999998E-4</v>
      </c>
      <c r="T51" s="38">
        <v>3.9100000000000002E-4</v>
      </c>
      <c r="U51" s="38">
        <v>4.2999999999999999E-4</v>
      </c>
      <c r="V51" s="38">
        <v>4.6000000000000001E-4</v>
      </c>
      <c r="W51" s="38">
        <v>4.84E-4</v>
      </c>
      <c r="X51" s="38">
        <v>5.0699999999999996E-4</v>
      </c>
      <c r="Y51" s="38">
        <v>5.2999999999999998E-4</v>
      </c>
      <c r="Z51" s="38">
        <v>5.5599999999999996E-4</v>
      </c>
      <c r="AA51" s="38">
        <v>5.8900000000000001E-4</v>
      </c>
      <c r="AB51" s="38">
        <v>6.2399999999999999E-4</v>
      </c>
      <c r="AC51" s="38">
        <v>6.6100000000000002E-4</v>
      </c>
      <c r="AD51" s="38">
        <v>6.96E-4</v>
      </c>
      <c r="AE51" s="38">
        <v>7.27E-4</v>
      </c>
      <c r="AF51" s="38">
        <v>7.54E-4</v>
      </c>
      <c r="AG51" s="38">
        <v>7.7899999999999996E-4</v>
      </c>
      <c r="AH51" s="38">
        <v>8.0099999999999995E-4</v>
      </c>
      <c r="AI51" s="38">
        <v>8.2100000000000001E-4</v>
      </c>
      <c r="AJ51" s="38">
        <v>8.3900000000000001E-4</v>
      </c>
      <c r="AK51" s="38">
        <v>8.4800000000000001E-4</v>
      </c>
      <c r="AL51" s="38">
        <v>8.4900000000000004E-4</v>
      </c>
      <c r="AM51" s="38">
        <v>8.5099999999999998E-4</v>
      </c>
      <c r="AN51" s="38">
        <v>8.6200000000000003E-4</v>
      </c>
      <c r="AO51" s="38">
        <v>8.9099999999999997E-4</v>
      </c>
      <c r="AP51" s="38">
        <v>9.3899999999999995E-4</v>
      </c>
      <c r="AQ51" s="38">
        <v>9.990000000000001E-4</v>
      </c>
      <c r="AR51" s="38">
        <v>1.072E-3</v>
      </c>
      <c r="AS51" s="38">
        <v>1.1559999999999999E-3</v>
      </c>
      <c r="AT51" s="38">
        <v>1.2520000000000001E-3</v>
      </c>
      <c r="AU51" s="38">
        <v>1.3519999999999999E-3</v>
      </c>
      <c r="AV51" s="38">
        <v>1.4580000000000001E-3</v>
      </c>
      <c r="AW51" s="38">
        <v>1.578E-3</v>
      </c>
      <c r="AX51" s="38">
        <v>1.722E-3</v>
      </c>
      <c r="AY51" s="38">
        <v>1.8990000000000001E-3</v>
      </c>
      <c r="AZ51" s="38">
        <v>2.1020000000000001E-3</v>
      </c>
      <c r="BA51" s="38">
        <v>2.3259999999999999E-3</v>
      </c>
      <c r="BB51" s="38">
        <v>2.5790000000000001E-3</v>
      </c>
      <c r="BC51" s="38">
        <v>2.872E-3</v>
      </c>
      <c r="BD51" s="38">
        <v>3.2130000000000001E-3</v>
      </c>
      <c r="BE51" s="38">
        <v>3.5839999999999999E-3</v>
      </c>
      <c r="BF51" s="38">
        <v>3.9789999999999999E-3</v>
      </c>
      <c r="BG51" s="38">
        <v>4.4250000000000001E-3</v>
      </c>
      <c r="BH51" s="38">
        <v>4.9490000000000003E-3</v>
      </c>
      <c r="BI51" s="38">
        <v>5.581E-3</v>
      </c>
      <c r="BJ51" s="38">
        <v>6.3E-3</v>
      </c>
      <c r="BK51" s="38">
        <v>7.0899999999999999E-3</v>
      </c>
      <c r="BL51" s="38">
        <v>7.9760000000000005E-3</v>
      </c>
      <c r="BM51" s="38">
        <v>8.9859999999999992E-3</v>
      </c>
      <c r="BN51" s="38">
        <v>1.0147E-2</v>
      </c>
      <c r="BO51" s="38">
        <v>1.1471E-2</v>
      </c>
      <c r="BP51" s="38">
        <v>1.294E-2</v>
      </c>
      <c r="BQ51" s="38">
        <v>1.4534999999999999E-2</v>
      </c>
      <c r="BR51" s="38">
        <v>1.6239E-2</v>
      </c>
      <c r="BS51" s="38">
        <v>1.8034000000000001E-2</v>
      </c>
      <c r="BT51" s="38">
        <v>1.9859000000000002E-2</v>
      </c>
      <c r="BU51" s="38">
        <v>2.1728999999999998E-2</v>
      </c>
      <c r="BV51" s="38">
        <v>2.3730000000000001E-2</v>
      </c>
      <c r="BW51" s="38">
        <v>2.5950999999999998E-2</v>
      </c>
      <c r="BX51" s="38">
        <v>2.8480999999999999E-2</v>
      </c>
      <c r="BY51" s="38">
        <v>3.1201E-2</v>
      </c>
      <c r="BZ51" s="38">
        <v>3.4050999999999998E-2</v>
      </c>
      <c r="CA51" s="38">
        <v>3.7211000000000001E-2</v>
      </c>
      <c r="CB51" s="38">
        <v>4.0857999999999998E-2</v>
      </c>
      <c r="CC51" s="38">
        <v>4.5171000000000003E-2</v>
      </c>
      <c r="CD51" s="38">
        <v>5.0210999999999999E-2</v>
      </c>
      <c r="CE51" s="38">
        <v>5.5861000000000001E-2</v>
      </c>
      <c r="CF51" s="38">
        <v>6.2026999999999999E-2</v>
      </c>
      <c r="CG51" s="38">
        <v>6.8614999999999995E-2</v>
      </c>
      <c r="CH51" s="38">
        <v>7.5532000000000002E-2</v>
      </c>
      <c r="CI51" s="38">
        <v>8.251E-2</v>
      </c>
      <c r="CJ51" s="38">
        <v>8.9612999999999998E-2</v>
      </c>
      <c r="CK51" s="38">
        <v>9.7239999999999993E-2</v>
      </c>
      <c r="CL51" s="38">
        <v>0.105792</v>
      </c>
      <c r="CM51" s="38">
        <v>0.115671</v>
      </c>
      <c r="CN51" s="38">
        <v>0.12698000000000001</v>
      </c>
      <c r="CO51" s="38">
        <v>0.13945199999999999</v>
      </c>
      <c r="CP51" s="38">
        <v>0.15293100000000001</v>
      </c>
      <c r="CQ51" s="38">
        <v>0.16725999999999999</v>
      </c>
      <c r="CR51" s="38">
        <v>0.182281</v>
      </c>
      <c r="CS51" s="38">
        <v>0.19839200000000001</v>
      </c>
      <c r="CT51" s="38">
        <v>0.2157</v>
      </c>
      <c r="CU51" s="38">
        <v>0.23360600000000001</v>
      </c>
      <c r="CV51" s="38">
        <v>0.25151000000000001</v>
      </c>
      <c r="CW51" s="38">
        <v>0.26881500000000003</v>
      </c>
      <c r="CX51" s="38">
        <v>0.285277</v>
      </c>
      <c r="CY51" s="38">
        <v>0.30129800000000001</v>
      </c>
      <c r="CZ51" s="38">
        <v>0.31723800000000002</v>
      </c>
      <c r="DA51" s="38">
        <v>0.33346100000000001</v>
      </c>
      <c r="DB51" s="38">
        <v>0.35032999999999997</v>
      </c>
      <c r="DC51" s="38">
        <v>0.36854199999999998</v>
      </c>
      <c r="DD51" s="38">
        <v>0.38785500000000001</v>
      </c>
      <c r="DE51" s="38">
        <v>0.40722399999999997</v>
      </c>
      <c r="DF51" s="38">
        <v>0.42559900000000001</v>
      </c>
      <c r="DG51" s="38">
        <v>0.44193500000000002</v>
      </c>
      <c r="DH51" s="38">
        <v>0.45755299999999999</v>
      </c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</row>
    <row r="52" spans="1:130">
      <c r="A52" s="30" t="s">
        <v>204</v>
      </c>
      <c r="B52" s="6" t="s">
        <v>152</v>
      </c>
      <c r="C52" s="7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>
        <v>2.9589999999999998E-4</v>
      </c>
      <c r="T52" s="11">
        <v>3.3169999999999999E-4</v>
      </c>
      <c r="U52" s="11">
        <v>3.4269999999999998E-4</v>
      </c>
      <c r="V52" s="11">
        <v>3.392E-4</v>
      </c>
      <c r="W52" s="11">
        <v>3.3030000000000001E-4</v>
      </c>
      <c r="X52" s="11">
        <v>3.2620000000000001E-4</v>
      </c>
      <c r="Y52" s="11">
        <v>3.3639999999999999E-4</v>
      </c>
      <c r="Z52" s="11">
        <v>3.613E-4</v>
      </c>
      <c r="AA52" s="11">
        <v>3.9100000000000002E-4</v>
      </c>
      <c r="AB52" s="11">
        <v>4.2129999999999999E-4</v>
      </c>
      <c r="AC52" s="11">
        <v>4.5140000000000002E-4</v>
      </c>
      <c r="AD52" s="11">
        <v>4.819E-4</v>
      </c>
      <c r="AE52" s="11">
        <v>5.1290000000000005E-4</v>
      </c>
      <c r="AF52" s="11">
        <v>5.4480000000000002E-4</v>
      </c>
      <c r="AG52" s="11">
        <v>5.7799999999999995E-4</v>
      </c>
      <c r="AH52" s="11">
        <v>6.1260000000000004E-4</v>
      </c>
      <c r="AI52" s="11">
        <v>6.4919999999999995E-4</v>
      </c>
      <c r="AJ52" s="11">
        <v>6.8769999999999996E-4</v>
      </c>
      <c r="AK52" s="11">
        <v>7.2869999999999999E-4</v>
      </c>
      <c r="AL52" s="11">
        <v>7.7260000000000002E-4</v>
      </c>
      <c r="AM52" s="11">
        <v>8.1930000000000002E-4</v>
      </c>
      <c r="AN52" s="11">
        <v>8.6930000000000004E-4</v>
      </c>
      <c r="AO52" s="11">
        <v>9.2159999999999996E-4</v>
      </c>
      <c r="AP52" s="11">
        <v>9.7559999999999997E-4</v>
      </c>
      <c r="AQ52" s="11">
        <v>1.0303999999999999E-3</v>
      </c>
      <c r="AR52" s="11">
        <v>1.085E-3</v>
      </c>
      <c r="AS52" s="11">
        <v>1.1389E-3</v>
      </c>
      <c r="AT52" s="11">
        <v>1.1911000000000001E-3</v>
      </c>
      <c r="AU52" s="11">
        <v>1.2416E-3</v>
      </c>
      <c r="AV52" s="11">
        <v>1.2937000000000001E-3</v>
      </c>
      <c r="AW52" s="11">
        <v>1.3517E-3</v>
      </c>
      <c r="AX52" s="11">
        <v>1.4197000000000001E-3</v>
      </c>
      <c r="AY52" s="11">
        <v>1.5020000000000001E-3</v>
      </c>
      <c r="AZ52" s="11">
        <v>1.6022E-3</v>
      </c>
      <c r="BA52" s="11">
        <v>1.7248999999999999E-3</v>
      </c>
      <c r="BB52" s="11">
        <v>1.8737999999999999E-3</v>
      </c>
      <c r="BC52" s="11">
        <v>2.0531E-3</v>
      </c>
      <c r="BD52" s="11">
        <v>2.2648999999999998E-3</v>
      </c>
      <c r="BE52" s="11">
        <v>2.5056000000000002E-3</v>
      </c>
      <c r="BF52" s="11">
        <v>2.7701000000000002E-3</v>
      </c>
      <c r="BG52" s="11">
        <v>3.0534E-3</v>
      </c>
      <c r="BH52" s="11">
        <v>3.3503999999999999E-3</v>
      </c>
      <c r="BI52" s="11">
        <v>3.656E-3</v>
      </c>
      <c r="BJ52" s="11">
        <v>3.9654E-3</v>
      </c>
      <c r="BK52" s="11">
        <v>4.2734000000000001E-3</v>
      </c>
      <c r="BL52" s="11">
        <v>4.5751999999999998E-3</v>
      </c>
      <c r="BM52" s="11">
        <v>4.8653999999999998E-3</v>
      </c>
      <c r="BN52" s="11">
        <v>5.1378999999999999E-3</v>
      </c>
      <c r="BO52" s="11">
        <v>5.5084000000000001E-3</v>
      </c>
      <c r="BP52" s="11">
        <v>6.0899999999999999E-3</v>
      </c>
      <c r="BQ52" s="11">
        <v>6.8875000000000004E-3</v>
      </c>
      <c r="BR52" s="11">
        <v>7.9056999999999999E-3</v>
      </c>
      <c r="BS52" s="11">
        <v>9.1493000000000008E-3</v>
      </c>
      <c r="BT52" s="11">
        <v>1.0623199999999999E-2</v>
      </c>
      <c r="BU52" s="11">
        <v>1.2331999999999999E-2</v>
      </c>
      <c r="BV52" s="11">
        <v>1.4280599999999999E-2</v>
      </c>
      <c r="BW52" s="11">
        <v>1.6473600000000001E-2</v>
      </c>
      <c r="BX52" s="11">
        <v>1.8915999999999999E-2</v>
      </c>
      <c r="BY52" s="11">
        <v>2.1612300000000001E-2</v>
      </c>
      <c r="BZ52" s="11">
        <v>2.4567499999999999E-2</v>
      </c>
      <c r="CA52" s="11">
        <v>2.77862E-2</v>
      </c>
      <c r="CB52" s="11">
        <v>3.1273200000000001E-2</v>
      </c>
      <c r="CC52" s="11">
        <v>3.5033399999999999E-2</v>
      </c>
      <c r="CD52" s="11">
        <v>3.9071300000000003E-2</v>
      </c>
      <c r="CE52" s="11">
        <v>4.3391899999999997E-2</v>
      </c>
      <c r="CF52" s="11">
        <v>4.7999899999999998E-2</v>
      </c>
      <c r="CG52" s="11">
        <v>5.2900000000000003E-2</v>
      </c>
      <c r="CH52" s="11">
        <v>5.8097000000000003E-2</v>
      </c>
      <c r="CI52" s="11">
        <v>6.3595700000000005E-2</v>
      </c>
      <c r="CJ52" s="11">
        <v>6.9400900000000001E-2</v>
      </c>
      <c r="CK52" s="11">
        <v>7.5517200000000007E-2</v>
      </c>
      <c r="CL52" s="11">
        <v>8.1949499999999995E-2</v>
      </c>
      <c r="CM52" s="11">
        <v>8.8702500000000004E-2</v>
      </c>
      <c r="CN52" s="11">
        <v>9.5781000000000005E-2</v>
      </c>
      <c r="CO52" s="11">
        <v>0.1031898</v>
      </c>
      <c r="CP52" s="11">
        <v>0.11093359999999999</v>
      </c>
      <c r="CQ52" s="11">
        <v>0.1190172</v>
      </c>
      <c r="CR52" s="11">
        <v>0.12744539999999999</v>
      </c>
      <c r="CS52" s="11">
        <v>0.1362228</v>
      </c>
      <c r="CT52" s="11">
        <v>0.14535439999999999</v>
      </c>
      <c r="CU52" s="11">
        <v>0.1548448</v>
      </c>
      <c r="CV52" s="11">
        <v>0.16469880000000001</v>
      </c>
      <c r="CW52" s="11">
        <v>0.1749211</v>
      </c>
      <c r="CX52" s="11">
        <v>0.1855166</v>
      </c>
      <c r="CY52" s="11">
        <v>0.19649</v>
      </c>
      <c r="CZ52" s="11">
        <v>0.20784610000000001</v>
      </c>
      <c r="DA52" s="11">
        <v>0.2195896</v>
      </c>
      <c r="DB52" s="11">
        <v>0.2317253</v>
      </c>
      <c r="DC52" s="11">
        <v>0.244258</v>
      </c>
      <c r="DD52" s="11">
        <v>0.25719229999999998</v>
      </c>
      <c r="DE52" s="11">
        <v>0.27053319999999997</v>
      </c>
      <c r="DF52" s="11">
        <v>0.28428530000000002</v>
      </c>
      <c r="DG52" s="11">
        <v>0.29845349999999998</v>
      </c>
      <c r="DH52" s="11">
        <v>0.3130424</v>
      </c>
      <c r="DI52" s="11">
        <v>0.32805679999999998</v>
      </c>
      <c r="DJ52" s="11">
        <v>0.34350160000000002</v>
      </c>
      <c r="DK52" s="11">
        <v>0.35938150000000002</v>
      </c>
      <c r="DL52" s="15">
        <v>0.37570110000000001</v>
      </c>
      <c r="DM52" s="15">
        <v>0.39246540000000002</v>
      </c>
      <c r="DN52" s="11">
        <v>0.40967910000000002</v>
      </c>
      <c r="DO52" s="11">
        <v>0.42734680000000003</v>
      </c>
      <c r="DP52" s="11">
        <v>0.44547350000000002</v>
      </c>
      <c r="DQ52" s="11">
        <v>0.46406389999999997</v>
      </c>
      <c r="DR52" s="11">
        <v>0.48312260000000001</v>
      </c>
      <c r="DS52" s="11">
        <v>1</v>
      </c>
      <c r="DT52" s="11"/>
      <c r="DU52" s="11"/>
      <c r="DV52" s="11"/>
      <c r="DW52" s="11"/>
      <c r="DX52" s="11"/>
      <c r="DY52" s="11"/>
      <c r="DZ52" s="11"/>
    </row>
    <row r="53" spans="1:130">
      <c r="A53" s="30" t="s">
        <v>204</v>
      </c>
      <c r="B53" s="4" t="s">
        <v>144</v>
      </c>
      <c r="C53" s="2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>
        <v>1.1950000000000001E-3</v>
      </c>
      <c r="T53" s="11">
        <v>1.2099999999999999E-3</v>
      </c>
      <c r="U53" s="11">
        <v>1.225E-3</v>
      </c>
      <c r="V53" s="11">
        <v>1.24E-3</v>
      </c>
      <c r="W53" s="11">
        <v>1.255E-3</v>
      </c>
      <c r="X53" s="11">
        <v>1.2700000000000001E-3</v>
      </c>
      <c r="Y53" s="11">
        <v>1.2849999999999999E-3</v>
      </c>
      <c r="Z53" s="11">
        <v>1.2999999999999999E-3</v>
      </c>
      <c r="AA53" s="11">
        <v>1.315E-3</v>
      </c>
      <c r="AB53" s="11">
        <v>1.33E-3</v>
      </c>
      <c r="AC53" s="11">
        <v>1.3450000000000001E-3</v>
      </c>
      <c r="AD53" s="11">
        <v>1.3600000000000001E-3</v>
      </c>
      <c r="AE53" s="11">
        <v>1.3749999999999999E-3</v>
      </c>
      <c r="AF53" s="11">
        <v>1.39E-3</v>
      </c>
      <c r="AG53" s="11">
        <v>1.405E-3</v>
      </c>
      <c r="AH53" s="11">
        <v>1.4239999999999999E-3</v>
      </c>
      <c r="AI53" s="11">
        <v>1.4729999999999999E-3</v>
      </c>
      <c r="AJ53" s="11">
        <v>1.5319999999999999E-3</v>
      </c>
      <c r="AK53" s="11">
        <v>1.603E-3</v>
      </c>
      <c r="AL53" s="11">
        <v>1.689E-3</v>
      </c>
      <c r="AM53" s="11">
        <v>1.7899999999999999E-3</v>
      </c>
      <c r="AN53" s="11">
        <v>1.9109999999999999E-3</v>
      </c>
      <c r="AO53" s="11">
        <v>2.052E-3</v>
      </c>
      <c r="AP53" s="11">
        <v>2.2169999999999998E-3</v>
      </c>
      <c r="AQ53" s="11">
        <v>2.4069999999999999E-3</v>
      </c>
      <c r="AR53" s="11">
        <v>2.624E-3</v>
      </c>
      <c r="AS53" s="11">
        <v>2.8709999999999999E-3</v>
      </c>
      <c r="AT53" s="11">
        <v>3.15E-3</v>
      </c>
      <c r="AU53" s="11">
        <v>3.4640000000000001E-3</v>
      </c>
      <c r="AV53" s="11">
        <v>3.813E-3</v>
      </c>
      <c r="AW53" s="11">
        <v>4.202E-3</v>
      </c>
      <c r="AX53" s="11">
        <v>4.6309999999999997E-3</v>
      </c>
      <c r="AY53" s="11">
        <v>5.1029999999999999E-3</v>
      </c>
      <c r="AZ53" s="11">
        <v>5.62E-3</v>
      </c>
      <c r="BA53" s="11">
        <v>6.1850000000000004E-3</v>
      </c>
      <c r="BB53" s="11">
        <v>6.8019999999999999E-3</v>
      </c>
      <c r="BC53" s="11">
        <v>7.4720000000000003E-3</v>
      </c>
      <c r="BD53" s="11">
        <v>8.2100000000000003E-3</v>
      </c>
      <c r="BE53" s="11">
        <v>9.0220000000000005E-3</v>
      </c>
      <c r="BF53" s="11">
        <v>9.9150000000000002E-3</v>
      </c>
      <c r="BG53" s="11">
        <v>1.0895999999999999E-2</v>
      </c>
      <c r="BH53" s="11">
        <v>1.1976000000000001E-2</v>
      </c>
      <c r="BI53" s="11">
        <v>1.3162999999999999E-2</v>
      </c>
      <c r="BJ53" s="11">
        <v>1.4468E-2</v>
      </c>
      <c r="BK53" s="11">
        <v>1.5901999999999999E-2</v>
      </c>
      <c r="BL53" s="11">
        <v>1.7478E-2</v>
      </c>
      <c r="BM53" s="11">
        <v>1.9209E-2</v>
      </c>
      <c r="BN53" s="11">
        <v>2.1111999999999999E-2</v>
      </c>
      <c r="BO53" s="11">
        <v>2.3200999999999999E-2</v>
      </c>
      <c r="BP53" s="11">
        <v>2.5495E-2</v>
      </c>
      <c r="BQ53" s="11">
        <v>2.8013E-2</v>
      </c>
      <c r="BR53" s="11">
        <v>3.0776000000000001E-2</v>
      </c>
      <c r="BS53" s="11">
        <v>3.3806999999999997E-2</v>
      </c>
      <c r="BT53" s="11">
        <v>3.7130999999999997E-2</v>
      </c>
      <c r="BU53" s="11">
        <v>4.0774999999999999E-2</v>
      </c>
      <c r="BV53" s="11">
        <v>4.4768000000000002E-2</v>
      </c>
      <c r="BW53" s="11">
        <v>4.9140999999999997E-2</v>
      </c>
      <c r="BX53" s="11">
        <v>5.3927999999999997E-2</v>
      </c>
      <c r="BY53" s="11">
        <v>5.9164000000000001E-2</v>
      </c>
      <c r="BZ53" s="11">
        <v>6.4890000000000003E-2</v>
      </c>
      <c r="CA53" s="11">
        <v>7.1146000000000001E-2</v>
      </c>
      <c r="CB53" s="11">
        <v>7.7976000000000004E-2</v>
      </c>
      <c r="CC53" s="11">
        <v>8.5427000000000003E-2</v>
      </c>
      <c r="CD53" s="11">
        <v>9.3548999999999993E-2</v>
      </c>
      <c r="CE53" s="11">
        <v>0.102392</v>
      </c>
      <c r="CF53" s="11">
        <v>0.112012</v>
      </c>
      <c r="CG53" s="11">
        <v>0.122464</v>
      </c>
      <c r="CH53" s="11">
        <v>0.13380600000000001</v>
      </c>
      <c r="CI53" s="11">
        <v>0.14609900000000001</v>
      </c>
      <c r="CJ53" s="11">
        <v>0.15940199999999999</v>
      </c>
      <c r="CK53" s="11">
        <v>0.17377500000000001</v>
      </c>
      <c r="CL53" s="11">
        <v>0.189278</v>
      </c>
      <c r="CM53" s="11">
        <v>0.20596999999999999</v>
      </c>
      <c r="CN53" s="11">
        <v>0.22390599999999999</v>
      </c>
      <c r="CO53" s="11">
        <v>0.24313899999999999</v>
      </c>
      <c r="CP53" s="11">
        <v>0.263714</v>
      </c>
      <c r="CQ53" s="11">
        <v>0.28567399999999998</v>
      </c>
      <c r="CR53" s="11">
        <v>0.30904900000000002</v>
      </c>
      <c r="CS53" s="11">
        <v>0.33386300000000002</v>
      </c>
      <c r="CT53" s="11">
        <v>0.36012699999999997</v>
      </c>
      <c r="CU53" s="11">
        <v>0.38784000000000002</v>
      </c>
      <c r="CV53" s="11">
        <v>0.41698600000000002</v>
      </c>
      <c r="CW53" s="11">
        <v>0.44753500000000002</v>
      </c>
      <c r="CX53" s="11">
        <v>0.47943799999999998</v>
      </c>
      <c r="CY53" s="11">
        <v>0.51263000000000003</v>
      </c>
      <c r="CZ53" s="11">
        <v>0.54702899999999999</v>
      </c>
      <c r="DA53" s="11">
        <v>0.58253299999999997</v>
      </c>
      <c r="DB53" s="11">
        <v>0.61902599999999997</v>
      </c>
      <c r="DC53" s="11">
        <v>0.69442700000000002</v>
      </c>
      <c r="DD53" s="11">
        <v>0.73302800000000001</v>
      </c>
      <c r="DE53" s="11">
        <v>0.77200500000000005</v>
      </c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</row>
    <row r="54" spans="1:130">
      <c r="A54" s="30" t="s">
        <v>204</v>
      </c>
      <c r="B54" s="4" t="s">
        <v>145</v>
      </c>
      <c r="C54" s="2"/>
      <c r="D54" s="11" t="s">
        <v>206</v>
      </c>
      <c r="E54" s="11" t="s">
        <v>206</v>
      </c>
      <c r="F54" s="11" t="s">
        <v>206</v>
      </c>
      <c r="G54" s="11" t="s">
        <v>206</v>
      </c>
      <c r="H54" s="11" t="s">
        <v>206</v>
      </c>
      <c r="I54" s="11" t="s">
        <v>206</v>
      </c>
      <c r="J54" s="11" t="s">
        <v>206</v>
      </c>
      <c r="K54" s="11" t="s">
        <v>206</v>
      </c>
      <c r="L54" s="11" t="s">
        <v>206</v>
      </c>
      <c r="M54" s="11" t="s">
        <v>206</v>
      </c>
      <c r="N54" s="11" t="s">
        <v>206</v>
      </c>
      <c r="O54" s="11" t="s">
        <v>206</v>
      </c>
      <c r="P54" s="11" t="s">
        <v>206</v>
      </c>
      <c r="Q54" s="11" t="s">
        <v>206</v>
      </c>
      <c r="R54" s="11" t="s">
        <v>206</v>
      </c>
      <c r="S54" s="11">
        <v>1.0790000000000001E-3</v>
      </c>
      <c r="T54" s="11">
        <v>1.0912000000000001E-3</v>
      </c>
      <c r="U54" s="11">
        <v>1.1034E-3</v>
      </c>
      <c r="V54" s="11">
        <v>1.1156E-3</v>
      </c>
      <c r="W54" s="11">
        <v>1.1278E-3</v>
      </c>
      <c r="X54" s="11">
        <v>1.14E-3</v>
      </c>
      <c r="Y54" s="11">
        <v>1.1521999999999999E-3</v>
      </c>
      <c r="Z54" s="11">
        <v>1.1643999999999999E-3</v>
      </c>
      <c r="AA54" s="11">
        <v>1.1766000000000001E-3</v>
      </c>
      <c r="AB54" s="11">
        <v>1.1888000000000001E-3</v>
      </c>
      <c r="AC54" s="11">
        <v>1.201E-3</v>
      </c>
      <c r="AD54" s="11">
        <v>1.2132E-3</v>
      </c>
      <c r="AE54" s="11">
        <v>1.2254E-3</v>
      </c>
      <c r="AF54" s="11">
        <v>1.2375999999999999E-3</v>
      </c>
      <c r="AG54" s="11">
        <v>1.2497999999999999E-3</v>
      </c>
      <c r="AH54" s="11">
        <v>1.2620000000000001E-3</v>
      </c>
      <c r="AI54" s="11">
        <v>1.2759E-3</v>
      </c>
      <c r="AJ54" s="11">
        <v>1.2993E-3</v>
      </c>
      <c r="AK54" s="11">
        <v>1.3396E-3</v>
      </c>
      <c r="AL54" s="11">
        <v>1.3983000000000001E-3</v>
      </c>
      <c r="AM54" s="11">
        <v>1.4769E-3</v>
      </c>
      <c r="AN54" s="11">
        <v>1.5770000000000001E-3</v>
      </c>
      <c r="AO54" s="11">
        <v>1.6999999999999999E-3</v>
      </c>
      <c r="AP54" s="11">
        <v>1.8473999999999999E-3</v>
      </c>
      <c r="AQ54" s="11">
        <v>2.0209E-3</v>
      </c>
      <c r="AR54" s="11">
        <v>2.2217999999999999E-3</v>
      </c>
      <c r="AS54" s="11">
        <v>2.4516999999999998E-3</v>
      </c>
      <c r="AT54" s="11">
        <v>2.7120999999999998E-3</v>
      </c>
      <c r="AU54" s="11">
        <v>3.0044999999999998E-3</v>
      </c>
      <c r="AV54" s="11">
        <v>3.3305000000000001E-3</v>
      </c>
      <c r="AW54" s="11">
        <v>3.6914000000000001E-3</v>
      </c>
      <c r="AX54" s="11">
        <v>4.0889000000000003E-3</v>
      </c>
      <c r="AY54" s="11">
        <v>4.5244999999999999E-3</v>
      </c>
      <c r="AZ54" s="11">
        <v>4.9995999999999999E-3</v>
      </c>
      <c r="BA54" s="11">
        <v>5.5157000000000001E-3</v>
      </c>
      <c r="BB54" s="11">
        <v>6.0937999999999999E-3</v>
      </c>
      <c r="BC54" s="11">
        <v>6.7055999999999999E-3</v>
      </c>
      <c r="BD54" s="11">
        <v>7.3822000000000002E-3</v>
      </c>
      <c r="BE54" s="11">
        <v>8.1303999999999994E-3</v>
      </c>
      <c r="BF54" s="11">
        <v>8.9575999999999996E-3</v>
      </c>
      <c r="BG54" s="11">
        <v>9.8718999999999994E-3</v>
      </c>
      <c r="BH54" s="11">
        <v>1.08822E-2</v>
      </c>
      <c r="BI54" s="11">
        <v>1.1998200000000001E-2</v>
      </c>
      <c r="BJ54" s="11">
        <v>1.32307E-2</v>
      </c>
      <c r="BK54" s="11">
        <v>1.4591399999999999E-2</v>
      </c>
      <c r="BL54" s="11">
        <v>1.6092800000000001E-2</v>
      </c>
      <c r="BM54" s="11">
        <v>1.7749000000000001E-2</v>
      </c>
      <c r="BN54" s="11">
        <v>1.9574999999999999E-2</v>
      </c>
      <c r="BO54" s="11">
        <v>2.1587200000000001E-2</v>
      </c>
      <c r="BP54" s="11">
        <v>2.38032E-2</v>
      </c>
      <c r="BQ54" s="11">
        <v>2.62423E-2</v>
      </c>
      <c r="BR54" s="11">
        <v>2.89249E-2</v>
      </c>
      <c r="BS54" s="11">
        <v>3.1873100000000001E-2</v>
      </c>
      <c r="BT54" s="11">
        <v>3.5110599999999999E-2</v>
      </c>
      <c r="BU54" s="11">
        <v>3.8662299999999997E-2</v>
      </c>
      <c r="BV54" s="11">
        <v>4.2555000000000003E-2</v>
      </c>
      <c r="BW54" s="11">
        <v>4.6816499999999997E-2</v>
      </c>
      <c r="BX54" s="11">
        <v>5.14762E-2</v>
      </c>
      <c r="BY54" s="11">
        <v>5.6564499999999997E-2</v>
      </c>
      <c r="BZ54" s="11">
        <v>6.2112800000000003E-2</v>
      </c>
      <c r="CA54" s="11">
        <v>6.8153099999999994E-2</v>
      </c>
      <c r="CB54" s="11">
        <v>7.4717699999999998E-2</v>
      </c>
      <c r="CC54" s="11">
        <v>8.1838900000000006E-2</v>
      </c>
      <c r="CD54" s="11">
        <v>8.9548100000000005E-2</v>
      </c>
      <c r="CE54" s="11">
        <v>9.7875699999999996E-2</v>
      </c>
      <c r="CF54" s="11">
        <v>0.10684979999999999</v>
      </c>
      <c r="CG54" s="11">
        <v>0.11649610000000001</v>
      </c>
      <c r="CH54" s="11">
        <v>0.12683639999999999</v>
      </c>
      <c r="CI54" s="11">
        <v>0.13788810000000001</v>
      </c>
      <c r="CJ54" s="11">
        <v>0.14966309999999999</v>
      </c>
      <c r="CK54" s="11">
        <v>0.16216659999999999</v>
      </c>
      <c r="CL54" s="11">
        <v>0.17539669999999999</v>
      </c>
      <c r="CM54" s="11">
        <v>0.18934290000000001</v>
      </c>
      <c r="CN54" s="11">
        <v>0.20398579999999999</v>
      </c>
      <c r="CO54" s="11">
        <v>0.2192962</v>
      </c>
      <c r="CP54" s="11">
        <v>0.235235</v>
      </c>
      <c r="CQ54" s="11">
        <v>0.25175310000000001</v>
      </c>
      <c r="CR54" s="11">
        <v>0.26879110000000001</v>
      </c>
      <c r="CS54" s="11">
        <v>0.28628049999999999</v>
      </c>
      <c r="CT54" s="11">
        <v>0.30414409999999997</v>
      </c>
      <c r="CU54" s="11">
        <v>0.32229770000000002</v>
      </c>
      <c r="CV54" s="11">
        <v>0.34065069999999997</v>
      </c>
      <c r="CW54" s="11">
        <v>0.35910900000000001</v>
      </c>
      <c r="CX54" s="11">
        <v>0.37757590000000002</v>
      </c>
      <c r="CY54" s="11">
        <v>0.39595459999999999</v>
      </c>
      <c r="CZ54" s="11">
        <v>0.41415020000000002</v>
      </c>
      <c r="DA54" s="11">
        <v>0.4320717</v>
      </c>
      <c r="DB54" s="11">
        <v>0.44963330000000001</v>
      </c>
      <c r="DC54" s="11">
        <v>0.48337160000000001</v>
      </c>
      <c r="DD54" s="11">
        <v>0.4994171</v>
      </c>
      <c r="DE54" s="11">
        <v>0.51484209999999997</v>
      </c>
      <c r="DF54" s="11">
        <v>0.52960589999999996</v>
      </c>
      <c r="DG54" s="11">
        <v>0.54367739999999998</v>
      </c>
      <c r="DH54" s="11">
        <v>0.55703550000000002</v>
      </c>
      <c r="DI54" s="11">
        <v>0.56966830000000002</v>
      </c>
      <c r="DJ54" s="11">
        <v>0.58157239999999999</v>
      </c>
      <c r="DK54" s="11">
        <v>0.59275169999999999</v>
      </c>
      <c r="DL54" s="11">
        <v>0.60321709999999995</v>
      </c>
      <c r="DM54" s="11">
        <v>0.61298509999999995</v>
      </c>
      <c r="DN54" s="11">
        <v>0.62207670000000004</v>
      </c>
      <c r="DO54" s="11">
        <v>0.63051699999999999</v>
      </c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</row>
    <row r="55" spans="1:130">
      <c r="A55" s="30" t="s">
        <v>204</v>
      </c>
      <c r="B55" s="6" t="s">
        <v>151</v>
      </c>
      <c r="C55" s="7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>
        <v>1.5789999999999999E-3</v>
      </c>
      <c r="T55" s="11">
        <v>1.5950000000000001E-3</v>
      </c>
      <c r="U55" s="11">
        <v>1.601E-3</v>
      </c>
      <c r="V55" s="11">
        <v>1.5950000000000001E-3</v>
      </c>
      <c r="W55" s="11">
        <v>1.5789999999999999E-3</v>
      </c>
      <c r="X55" s="11">
        <v>1.5499999999999999E-3</v>
      </c>
      <c r="Y55" s="11">
        <v>1.5089999999999999E-3</v>
      </c>
      <c r="Z55" s="11">
        <v>1.464E-3</v>
      </c>
      <c r="AA55" s="11">
        <v>1.4239999999999999E-3</v>
      </c>
      <c r="AB55" s="11">
        <v>1.3879999999999999E-3</v>
      </c>
      <c r="AC55" s="11">
        <v>1.3569999999999999E-3</v>
      </c>
      <c r="AD55" s="11">
        <v>1.333E-3</v>
      </c>
      <c r="AE55" s="11">
        <v>1.3140000000000001E-3</v>
      </c>
      <c r="AF55" s="11">
        <v>1.302E-3</v>
      </c>
      <c r="AG55" s="11">
        <v>1.297E-3</v>
      </c>
      <c r="AH55" s="11">
        <v>1.2999999999999999E-3</v>
      </c>
      <c r="AI55" s="11">
        <v>1.31E-3</v>
      </c>
      <c r="AJ55" s="11">
        <v>1.33E-3</v>
      </c>
      <c r="AK55" s="11">
        <v>1.359E-3</v>
      </c>
      <c r="AL55" s="11">
        <v>1.397E-3</v>
      </c>
      <c r="AM55" s="11">
        <v>1.4450000000000001E-3</v>
      </c>
      <c r="AN55" s="11">
        <v>1.5049999999999998E-3</v>
      </c>
      <c r="AO55" s="11">
        <v>1.575E-3</v>
      </c>
      <c r="AP55" s="11">
        <v>1.6590000000000001E-3</v>
      </c>
      <c r="AQ55" s="11">
        <v>1.7569999999999999E-3</v>
      </c>
      <c r="AR55" s="11">
        <v>1.869E-3</v>
      </c>
      <c r="AS55" s="11">
        <v>1.9980000000000002E-3</v>
      </c>
      <c r="AT55" s="11">
        <v>2.1450000000000002E-3</v>
      </c>
      <c r="AU55" s="11">
        <v>2.31E-3</v>
      </c>
      <c r="AV55" s="11">
        <v>2.4970000000000001E-3</v>
      </c>
      <c r="AW55" s="11">
        <v>2.7109999999999999E-3</v>
      </c>
      <c r="AX55" s="11">
        <v>2.9550000000000002E-3</v>
      </c>
      <c r="AY55" s="11">
        <v>3.2330000000000002E-3</v>
      </c>
      <c r="AZ55" s="11">
        <v>3.5479999999999999E-3</v>
      </c>
      <c r="BA55" s="11">
        <v>3.9060000000000002E-3</v>
      </c>
      <c r="BB55" s="11">
        <v>4.3090000000000003E-3</v>
      </c>
      <c r="BC55" s="11">
        <v>4.7610000000000005E-3</v>
      </c>
      <c r="BD55" s="11">
        <v>5.2659999999999998E-3</v>
      </c>
      <c r="BE55" s="11">
        <v>5.8269999999999997E-3</v>
      </c>
      <c r="BF55" s="11">
        <v>6.4470000000000005E-3</v>
      </c>
      <c r="BG55" s="11">
        <v>7.1289999999999999E-3</v>
      </c>
      <c r="BH55" s="11">
        <v>7.8760000000000011E-3</v>
      </c>
      <c r="BI55" s="11">
        <v>8.6880000000000013E-3</v>
      </c>
      <c r="BJ55" s="11">
        <v>9.5700000000000004E-3</v>
      </c>
      <c r="BK55" s="11">
        <v>1.0523999999999999E-2</v>
      </c>
      <c r="BL55" s="11">
        <v>1.1552E-2</v>
      </c>
      <c r="BM55" s="11">
        <v>1.2657E-2</v>
      </c>
      <c r="BN55" s="11">
        <v>1.3842E-2</v>
      </c>
      <c r="BO55" s="11">
        <v>1.5108E-2</v>
      </c>
      <c r="BP55" s="11">
        <v>1.6460000000000002E-2</v>
      </c>
      <c r="BQ55" s="11">
        <v>1.8071E-2</v>
      </c>
      <c r="BR55" s="11">
        <v>2.0031E-2</v>
      </c>
      <c r="BS55" s="11">
        <v>2.2341999999999997E-2</v>
      </c>
      <c r="BT55" s="11">
        <v>2.5002E-2</v>
      </c>
      <c r="BU55" s="11">
        <v>2.8012000000000002E-2</v>
      </c>
      <c r="BV55" s="11">
        <v>3.1370999999999996E-2</v>
      </c>
      <c r="BW55" s="11">
        <v>3.5081000000000001E-2</v>
      </c>
      <c r="BX55" s="11">
        <v>3.9140000000000001E-2</v>
      </c>
      <c r="BY55" s="11">
        <v>4.3548999999999997E-2</v>
      </c>
      <c r="BZ55" s="11">
        <v>4.8307999999999997E-2</v>
      </c>
      <c r="CA55" s="11">
        <v>5.3415999999999998E-2</v>
      </c>
      <c r="CB55" s="11">
        <v>5.8874999999999997E-2</v>
      </c>
      <c r="CC55" s="11">
        <v>6.4683000000000004E-2</v>
      </c>
      <c r="CD55" s="11">
        <v>7.084E-2</v>
      </c>
      <c r="CE55" s="11">
        <v>7.7348E-2</v>
      </c>
      <c r="CF55" s="11">
        <v>8.4205000000000002E-2</v>
      </c>
      <c r="CG55" s="11">
        <v>9.1412000000000007E-2</v>
      </c>
      <c r="CH55" s="11">
        <v>9.8968999999999988E-2</v>
      </c>
      <c r="CI55" s="11">
        <v>0.106876</v>
      </c>
      <c r="CJ55" s="11">
        <v>0.115132</v>
      </c>
      <c r="CK55" s="11">
        <v>0.123739</v>
      </c>
      <c r="CL55" s="11">
        <v>0.13269499999999998</v>
      </c>
      <c r="CM55" s="11">
        <v>0.14199999999999999</v>
      </c>
      <c r="CN55" s="11">
        <v>0.15165600000000001</v>
      </c>
      <c r="CO55" s="11">
        <v>0.161661</v>
      </c>
      <c r="CP55" s="11">
        <v>0.172016</v>
      </c>
      <c r="CQ55" s="11">
        <v>0.18272099999999999</v>
      </c>
      <c r="CR55" s="11">
        <v>0.193775</v>
      </c>
      <c r="CS55" s="11">
        <v>0.20518</v>
      </c>
      <c r="CT55" s="11">
        <v>0.21693399999999999</v>
      </c>
      <c r="CU55" s="11">
        <v>0.22903800000000002</v>
      </c>
      <c r="CV55" s="11">
        <v>0.24149100000000001</v>
      </c>
      <c r="CW55" s="11">
        <v>0.25429499999999999</v>
      </c>
      <c r="CX55" s="11">
        <v>0.26744799999999996</v>
      </c>
      <c r="CY55" s="11">
        <v>0.28095100000000001</v>
      </c>
      <c r="CZ55" s="11">
        <v>0.29480299999999998</v>
      </c>
      <c r="DA55" s="11">
        <v>0.30900599999999995</v>
      </c>
      <c r="DB55" s="11">
        <v>0.32355800000000001</v>
      </c>
      <c r="DC55" s="11">
        <v>0.33845999999999998</v>
      </c>
      <c r="DD55" s="11">
        <v>0.35371199999999997</v>
      </c>
      <c r="DE55" s="11">
        <v>0.369313</v>
      </c>
      <c r="DF55" s="11">
        <v>0.385264</v>
      </c>
      <c r="DG55" s="11">
        <v>0.40156599999999998</v>
      </c>
      <c r="DH55" s="11">
        <v>0.41821600000000003</v>
      </c>
      <c r="DI55" s="11">
        <v>0.43521699999999996</v>
      </c>
      <c r="DJ55" s="11">
        <v>0.452567</v>
      </c>
      <c r="DK55" s="11">
        <v>0.47026699999999999</v>
      </c>
      <c r="DL55" s="15">
        <v>0.488317</v>
      </c>
      <c r="DM55" s="15">
        <v>0.50671699999999997</v>
      </c>
      <c r="DN55" s="11">
        <v>0.52546599999999999</v>
      </c>
      <c r="DO55" s="11">
        <v>0.54456500000000008</v>
      </c>
      <c r="DP55" s="11">
        <v>0.56401400000000002</v>
      </c>
      <c r="DQ55" s="11">
        <v>0.58381300000000003</v>
      </c>
      <c r="DR55" s="11">
        <v>0.603962</v>
      </c>
      <c r="DS55" s="11">
        <v>1</v>
      </c>
      <c r="DT55" s="11"/>
      <c r="DU55" s="11"/>
      <c r="DV55" s="11"/>
      <c r="DW55" s="11"/>
      <c r="DX55" s="11"/>
      <c r="DY55" s="11"/>
      <c r="DZ55" s="11"/>
    </row>
    <row r="56" spans="1:130" s="44" customFormat="1">
      <c r="A56" s="30" t="s">
        <v>204</v>
      </c>
      <c r="B56" s="31" t="s">
        <v>208</v>
      </c>
      <c r="C56" s="30" t="s">
        <v>0</v>
      </c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>
        <v>1.2880000000000001E-3</v>
      </c>
      <c r="T56" s="33">
        <v>1.289E-3</v>
      </c>
      <c r="U56" s="33">
        <v>1.2899999999999999E-3</v>
      </c>
      <c r="V56" s="33">
        <v>1.291E-3</v>
      </c>
      <c r="W56" s="33">
        <v>1.292E-3</v>
      </c>
      <c r="X56" s="33">
        <v>1.294E-3</v>
      </c>
      <c r="Y56" s="33">
        <v>1.2949999999999999E-3</v>
      </c>
      <c r="Z56" s="33">
        <v>1.2960000000000001E-3</v>
      </c>
      <c r="AA56" s="33">
        <v>1.297E-3</v>
      </c>
      <c r="AB56" s="33">
        <v>1.2979999999999999E-3</v>
      </c>
      <c r="AC56" s="33">
        <v>1.299E-3</v>
      </c>
      <c r="AD56" s="33">
        <v>1.2999999999999999E-3</v>
      </c>
      <c r="AE56" s="33">
        <v>1.3010000000000001E-3</v>
      </c>
      <c r="AF56" s="33">
        <v>1.3029999999999999E-3</v>
      </c>
      <c r="AG56" s="33">
        <v>1.304E-3</v>
      </c>
      <c r="AH56" s="33">
        <v>1.3060000000000001E-3</v>
      </c>
      <c r="AI56" s="33">
        <v>1.315E-3</v>
      </c>
      <c r="AJ56" s="33">
        <v>1.3320000000000001E-3</v>
      </c>
      <c r="AK56" s="33">
        <v>1.3600000000000001E-3</v>
      </c>
      <c r="AL56" s="33">
        <v>1.3960000000000001E-3</v>
      </c>
      <c r="AM56" s="33">
        <v>1.444E-3</v>
      </c>
      <c r="AN56" s="33">
        <v>1.5009999999999999E-3</v>
      </c>
      <c r="AO56" s="33">
        <v>1.5709999999999999E-3</v>
      </c>
      <c r="AP56" s="33">
        <v>1.6540000000000001E-3</v>
      </c>
      <c r="AQ56" s="33">
        <v>1.75E-3</v>
      </c>
      <c r="AR56" s="33">
        <v>1.8619999999999999E-3</v>
      </c>
      <c r="AS56" s="33">
        <v>1.99E-3</v>
      </c>
      <c r="AT56" s="33">
        <v>2.1350000000000002E-3</v>
      </c>
      <c r="AU56" s="33">
        <v>2.2989999999999998E-3</v>
      </c>
      <c r="AV56" s="33">
        <v>2.4849999999999998E-3</v>
      </c>
      <c r="AW56" s="33">
        <v>2.6979999999999999E-3</v>
      </c>
      <c r="AX56" s="33">
        <v>2.941E-3</v>
      </c>
      <c r="AY56" s="33">
        <v>3.2190000000000001E-3</v>
      </c>
      <c r="AZ56" s="33">
        <v>3.5339999999999998E-3</v>
      </c>
      <c r="BA56" s="33">
        <v>3.8709999999999999E-3</v>
      </c>
      <c r="BB56" s="33">
        <v>4.2180000000000004E-3</v>
      </c>
      <c r="BC56" s="33">
        <v>4.5779999999999996E-3</v>
      </c>
      <c r="BD56" s="33">
        <v>4.9579999999999997E-3</v>
      </c>
      <c r="BE56" s="33">
        <v>5.3629999999999997E-3</v>
      </c>
      <c r="BF56" s="33">
        <v>5.7980000000000002E-3</v>
      </c>
      <c r="BG56" s="33">
        <v>6.2709999999999997E-3</v>
      </c>
      <c r="BH56" s="33">
        <v>6.7850000000000002E-3</v>
      </c>
      <c r="BI56" s="33">
        <v>7.3470000000000002E-3</v>
      </c>
      <c r="BJ56" s="33">
        <v>7.9620000000000003E-3</v>
      </c>
      <c r="BK56" s="33">
        <v>8.6359999999999996E-3</v>
      </c>
      <c r="BL56" s="33">
        <v>9.3740000000000004E-3</v>
      </c>
      <c r="BM56" s="33">
        <v>1.0182999999999999E-2</v>
      </c>
      <c r="BN56" s="33">
        <v>1.1067E-2</v>
      </c>
      <c r="BO56" s="33">
        <v>1.1958E-2</v>
      </c>
      <c r="BP56" s="33">
        <v>1.2818E-2</v>
      </c>
      <c r="BQ56" s="33">
        <v>1.3697000000000001E-2</v>
      </c>
      <c r="BR56" s="33">
        <v>1.464E-2</v>
      </c>
      <c r="BS56" s="33">
        <v>1.5691E-2</v>
      </c>
      <c r="BT56" s="33">
        <v>1.6891E-2</v>
      </c>
      <c r="BU56" s="33">
        <v>1.8277999999999999E-2</v>
      </c>
      <c r="BV56" s="33">
        <v>1.9886000000000001E-2</v>
      </c>
      <c r="BW56" s="33">
        <v>2.1749999999999999E-2</v>
      </c>
      <c r="BX56" s="33">
        <v>2.3889000000000001E-2</v>
      </c>
      <c r="BY56" s="33">
        <v>2.6286E-2</v>
      </c>
      <c r="BZ56" s="33">
        <v>2.8913999999999999E-2</v>
      </c>
      <c r="CA56" s="33">
        <v>3.1746000000000003E-2</v>
      </c>
      <c r="CB56" s="33">
        <v>3.4758999999999998E-2</v>
      </c>
      <c r="CC56" s="33">
        <v>3.7928000000000003E-2</v>
      </c>
      <c r="CD56" s="33">
        <v>4.1231999999999998E-2</v>
      </c>
      <c r="CE56" s="33">
        <v>4.4649000000000001E-2</v>
      </c>
      <c r="CF56" s="33">
        <v>4.8159E-2</v>
      </c>
      <c r="CG56" s="33">
        <v>5.1742999999999997E-2</v>
      </c>
      <c r="CH56" s="33">
        <v>5.5383000000000002E-2</v>
      </c>
      <c r="CI56" s="33">
        <v>5.9062000000000003E-2</v>
      </c>
      <c r="CJ56" s="33">
        <v>6.2764E-2</v>
      </c>
      <c r="CK56" s="33">
        <v>6.6473000000000004E-2</v>
      </c>
      <c r="CL56" s="33">
        <v>7.0175000000000001E-2</v>
      </c>
      <c r="CM56" s="33">
        <v>7.3891999999999999E-2</v>
      </c>
      <c r="CN56" s="33">
        <v>7.7790999999999999E-2</v>
      </c>
      <c r="CO56" s="33">
        <v>8.2059999999999994E-2</v>
      </c>
      <c r="CP56" s="33">
        <v>8.6879999999999999E-2</v>
      </c>
      <c r="CQ56" s="33">
        <v>9.2416999999999999E-2</v>
      </c>
      <c r="CR56" s="33">
        <v>9.8825999999999997E-2</v>
      </c>
      <c r="CS56" s="33">
        <v>0.106254</v>
      </c>
      <c r="CT56" s="33">
        <v>0.11450100000000001</v>
      </c>
      <c r="CU56" s="33">
        <v>0.123276</v>
      </c>
      <c r="CV56" s="33">
        <v>0.132579</v>
      </c>
      <c r="CW56" s="33">
        <v>0.14241000000000001</v>
      </c>
      <c r="CX56" s="33">
        <v>0.15276899999999999</v>
      </c>
      <c r="CY56" s="33">
        <v>0.163656</v>
      </c>
      <c r="CZ56" s="33">
        <v>0.17507</v>
      </c>
      <c r="DA56" s="33">
        <v>0.18701300000000001</v>
      </c>
      <c r="DB56" s="33">
        <v>0.19948299999999999</v>
      </c>
      <c r="DC56" s="33">
        <v>0.212481</v>
      </c>
      <c r="DD56" s="33">
        <v>0.22600799999999999</v>
      </c>
      <c r="DE56" s="33">
        <v>0.240062</v>
      </c>
      <c r="DF56" s="33">
        <v>0.25464399999999998</v>
      </c>
      <c r="DG56" s="33">
        <v>0.26975300000000002</v>
      </c>
      <c r="DH56" s="33">
        <v>0.28539100000000001</v>
      </c>
      <c r="DI56" s="33">
        <v>0.30155700000000002</v>
      </c>
      <c r="DJ56" s="33">
        <v>0.31824999999999998</v>
      </c>
      <c r="DK56" s="33">
        <v>0.33547199999999999</v>
      </c>
      <c r="DL56" s="33">
        <v>0.35322100000000001</v>
      </c>
      <c r="DM56" s="33">
        <v>0.37149900000000002</v>
      </c>
      <c r="DN56" s="33">
        <v>0.39030399999999998</v>
      </c>
      <c r="DO56" s="33">
        <v>0.40963699999999997</v>
      </c>
      <c r="DP56" s="33">
        <v>0.42949799999999999</v>
      </c>
      <c r="DQ56" s="33">
        <v>0.44988699999999998</v>
      </c>
      <c r="DR56" s="33">
        <v>0.470804</v>
      </c>
      <c r="DS56" s="33">
        <v>0.49224800000000002</v>
      </c>
      <c r="DT56" s="33">
        <v>0.51422100000000004</v>
      </c>
      <c r="DU56" s="33">
        <v>0.53672200000000003</v>
      </c>
      <c r="DV56" s="33">
        <v>0.55974999999999997</v>
      </c>
      <c r="DW56" s="33">
        <v>0.58330599999999999</v>
      </c>
      <c r="DX56" s="33">
        <v>0.60739100000000001</v>
      </c>
      <c r="DY56" s="33">
        <v>0.63200299999999998</v>
      </c>
      <c r="DZ56" s="33">
        <v>1</v>
      </c>
    </row>
    <row r="57" spans="1:130" s="40" customFormat="1">
      <c r="A57" s="35" t="s">
        <v>204</v>
      </c>
      <c r="B57" s="36" t="s">
        <v>208</v>
      </c>
      <c r="C57" s="35" t="s">
        <v>0</v>
      </c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>
        <v>1.2879E-3</v>
      </c>
      <c r="T57" s="37">
        <v>1.289E-3</v>
      </c>
      <c r="U57" s="37">
        <v>1.2902E-3</v>
      </c>
      <c r="V57" s="37">
        <v>1.2913E-3</v>
      </c>
      <c r="W57" s="37">
        <v>1.2924E-3</v>
      </c>
      <c r="X57" s="37">
        <v>1.2936E-3</v>
      </c>
      <c r="Y57" s="37">
        <v>1.2947E-3</v>
      </c>
      <c r="Z57" s="37">
        <v>1.2957999999999999E-3</v>
      </c>
      <c r="AA57" s="37">
        <v>1.297E-3</v>
      </c>
      <c r="AB57" s="37">
        <v>1.2980999999999999E-3</v>
      </c>
      <c r="AC57" s="37">
        <v>1.2991999999999999E-3</v>
      </c>
      <c r="AD57" s="37">
        <v>1.3004E-3</v>
      </c>
      <c r="AE57" s="37">
        <v>1.3014999999999999E-3</v>
      </c>
      <c r="AF57" s="37">
        <v>1.3025999999999999E-3</v>
      </c>
      <c r="AG57" s="37">
        <v>1.3037999999999999E-3</v>
      </c>
      <c r="AH57" s="37">
        <v>1.3056999999999999E-3</v>
      </c>
      <c r="AI57" s="37">
        <v>1.3146E-3</v>
      </c>
      <c r="AJ57" s="37">
        <v>1.3324999999999999E-3</v>
      </c>
      <c r="AK57" s="37">
        <v>1.3596000000000001E-3</v>
      </c>
      <c r="AL57" s="37">
        <v>1.3965E-3</v>
      </c>
      <c r="AM57" s="37">
        <v>1.4436E-3</v>
      </c>
      <c r="AN57" s="37">
        <v>1.5014E-3</v>
      </c>
      <c r="AO57" s="37">
        <v>1.5709999999999999E-3</v>
      </c>
      <c r="AP57" s="37">
        <v>1.6535E-3</v>
      </c>
      <c r="AQ57" s="37">
        <v>1.7501000000000001E-3</v>
      </c>
      <c r="AR57" s="37">
        <v>1.8617E-3</v>
      </c>
      <c r="AS57" s="37">
        <v>1.9895999999999998E-3</v>
      </c>
      <c r="AT57" s="37">
        <v>2.1348000000000001E-3</v>
      </c>
      <c r="AU57" s="37">
        <v>2.2989999999999998E-3</v>
      </c>
      <c r="AV57" s="37">
        <v>2.4854999999999999E-3</v>
      </c>
      <c r="AW57" s="37">
        <v>2.6984000000000001E-3</v>
      </c>
      <c r="AX57" s="37">
        <v>2.9413999999999998E-3</v>
      </c>
      <c r="AY57" s="37">
        <v>3.2187000000000001E-3</v>
      </c>
      <c r="AZ57" s="37">
        <v>3.5338000000000001E-3</v>
      </c>
      <c r="BA57" s="37">
        <v>3.8714999999999999E-3</v>
      </c>
      <c r="BB57" s="37">
        <v>4.2176000000000002E-3</v>
      </c>
      <c r="BC57" s="37">
        <v>4.5777999999999999E-3</v>
      </c>
      <c r="BD57" s="37">
        <v>4.9576000000000004E-3</v>
      </c>
      <c r="BE57" s="37">
        <v>5.3626000000000004E-3</v>
      </c>
      <c r="BF57" s="37">
        <v>5.7984999999999998E-3</v>
      </c>
      <c r="BG57" s="37">
        <v>6.2708E-3</v>
      </c>
      <c r="BH57" s="37">
        <v>6.7850999999999996E-3</v>
      </c>
      <c r="BI57" s="37">
        <v>7.3470000000000002E-3</v>
      </c>
      <c r="BJ57" s="37">
        <v>7.9620999999999997E-3</v>
      </c>
      <c r="BK57" s="37">
        <v>8.6361000000000007E-3</v>
      </c>
      <c r="BL57" s="37">
        <v>9.3743999999999997E-3</v>
      </c>
      <c r="BM57" s="37">
        <v>1.0182800000000001E-2</v>
      </c>
      <c r="BN57" s="37">
        <v>1.10668E-2</v>
      </c>
      <c r="BO57" s="37">
        <v>1.19579E-2</v>
      </c>
      <c r="BP57" s="37">
        <v>1.2818100000000001E-2</v>
      </c>
      <c r="BQ57" s="37">
        <v>1.3696699999999999E-2</v>
      </c>
      <c r="BR57" s="37">
        <v>1.464E-2</v>
      </c>
      <c r="BS57" s="37">
        <v>1.5691299999999998E-2</v>
      </c>
      <c r="BT57" s="37">
        <v>1.6891199999999999E-2</v>
      </c>
      <c r="BU57" s="37">
        <v>1.8277600000000001E-2</v>
      </c>
      <c r="BV57" s="37">
        <v>1.98861E-2</v>
      </c>
      <c r="BW57" s="37">
        <v>2.1749600000000001E-2</v>
      </c>
      <c r="BX57" s="37">
        <v>2.3889199999999999E-2</v>
      </c>
      <c r="BY57" s="37">
        <v>2.6286299999999999E-2</v>
      </c>
      <c r="BZ57" s="37">
        <v>2.8913899999999999E-2</v>
      </c>
      <c r="CA57" s="37">
        <v>3.1746200000000002E-2</v>
      </c>
      <c r="CB57" s="37">
        <v>3.4758699999999997E-2</v>
      </c>
      <c r="CC57" s="37">
        <v>3.7927900000000001E-2</v>
      </c>
      <c r="CD57" s="37">
        <v>4.12316E-2</v>
      </c>
      <c r="CE57" s="37">
        <v>4.4648500000000001E-2</v>
      </c>
      <c r="CF57" s="37">
        <v>4.8158699999999999E-2</v>
      </c>
      <c r="CG57" s="37">
        <v>5.1742999999999997E-2</v>
      </c>
      <c r="CH57" s="37">
        <v>5.5383300000000003E-2</v>
      </c>
      <c r="CI57" s="37">
        <v>5.9062400000000001E-2</v>
      </c>
      <c r="CJ57" s="37">
        <v>6.2764200000000006E-2</v>
      </c>
      <c r="CK57" s="37">
        <v>6.6473199999999996E-2</v>
      </c>
      <c r="CL57" s="37">
        <v>7.0175000000000001E-2</v>
      </c>
      <c r="CM57" s="37">
        <v>7.3892399999999997E-2</v>
      </c>
      <c r="CN57" s="37">
        <v>7.7790700000000004E-2</v>
      </c>
      <c r="CO57" s="37">
        <v>8.2060300000000003E-2</v>
      </c>
      <c r="CP57" s="37">
        <v>8.6879999999999999E-2</v>
      </c>
      <c r="CQ57" s="37">
        <v>9.2416600000000002E-2</v>
      </c>
      <c r="CR57" s="37">
        <v>9.8826300000000006E-2</v>
      </c>
      <c r="CS57" s="37">
        <v>0.1062543</v>
      </c>
      <c r="CT57" s="37">
        <v>0.1145014</v>
      </c>
      <c r="CU57" s="37">
        <v>0.1232765</v>
      </c>
      <c r="CV57" s="37">
        <v>0.13257939999999999</v>
      </c>
      <c r="CW57" s="37">
        <v>0.14241019999999999</v>
      </c>
      <c r="CX57" s="37">
        <v>0.15276899999999999</v>
      </c>
      <c r="CY57" s="37">
        <v>0.16365560000000001</v>
      </c>
      <c r="CZ57" s="37">
        <v>0.17507020000000001</v>
      </c>
      <c r="DA57" s="37">
        <v>0.1870127</v>
      </c>
      <c r="DB57" s="37">
        <v>0.19948299999999999</v>
      </c>
      <c r="DC57" s="37">
        <v>0.21248130000000001</v>
      </c>
      <c r="DD57" s="37">
        <v>0.2260075</v>
      </c>
      <c r="DE57" s="37">
        <v>0.24006150000000001</v>
      </c>
      <c r="DF57" s="37">
        <v>0.25464350000000002</v>
      </c>
      <c r="DG57" s="37">
        <v>0.26975339999999998</v>
      </c>
      <c r="DH57" s="37">
        <v>0.28539120000000001</v>
      </c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</row>
    <row r="58" spans="1:130" s="44" customFormat="1">
      <c r="A58" s="30" t="s">
        <v>204</v>
      </c>
      <c r="B58" s="31" t="s">
        <v>209</v>
      </c>
      <c r="C58" s="30" t="s">
        <v>0</v>
      </c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 t="s">
        <v>20</v>
      </c>
      <c r="T58" s="33" t="s">
        <v>21</v>
      </c>
      <c r="U58" s="33" t="s">
        <v>22</v>
      </c>
      <c r="V58" s="33" t="s">
        <v>24</v>
      </c>
      <c r="W58" s="33" t="s">
        <v>25</v>
      </c>
      <c r="X58" s="33" t="s">
        <v>26</v>
      </c>
      <c r="Y58" s="33" t="s">
        <v>27</v>
      </c>
      <c r="Z58" s="33" t="s">
        <v>28</v>
      </c>
      <c r="AA58" s="33" t="s">
        <v>29</v>
      </c>
      <c r="AB58" s="33" t="s">
        <v>30</v>
      </c>
      <c r="AC58" s="33" t="s">
        <v>31</v>
      </c>
      <c r="AD58" s="33" t="s">
        <v>32</v>
      </c>
      <c r="AE58" s="33" t="s">
        <v>33</v>
      </c>
      <c r="AF58" s="33" t="s">
        <v>34</v>
      </c>
      <c r="AG58" s="33" t="s">
        <v>35</v>
      </c>
      <c r="AH58" s="33" t="s">
        <v>36</v>
      </c>
      <c r="AI58" s="33" t="s">
        <v>37</v>
      </c>
      <c r="AJ58" s="33" t="s">
        <v>38</v>
      </c>
      <c r="AK58" s="33" t="s">
        <v>39</v>
      </c>
      <c r="AL58" s="33" t="s">
        <v>40</v>
      </c>
      <c r="AM58" s="33" t="s">
        <v>41</v>
      </c>
      <c r="AN58" s="33" t="s">
        <v>42</v>
      </c>
      <c r="AO58" s="33" t="s">
        <v>43</v>
      </c>
      <c r="AP58" s="33" t="s">
        <v>44</v>
      </c>
      <c r="AQ58" s="33" t="s">
        <v>45</v>
      </c>
      <c r="AR58" s="33" t="s">
        <v>46</v>
      </c>
      <c r="AS58" s="33" t="s">
        <v>47</v>
      </c>
      <c r="AT58" s="33" t="s">
        <v>48</v>
      </c>
      <c r="AU58" s="33" t="s">
        <v>49</v>
      </c>
      <c r="AV58" s="33" t="s">
        <v>23</v>
      </c>
      <c r="AW58" s="33" t="s">
        <v>50</v>
      </c>
      <c r="AX58" s="33" t="s">
        <v>51</v>
      </c>
      <c r="AY58" s="33" t="s">
        <v>52</v>
      </c>
      <c r="AZ58" s="33" t="s">
        <v>53</v>
      </c>
      <c r="BA58" s="33" t="s">
        <v>54</v>
      </c>
      <c r="BB58" s="33" t="s">
        <v>55</v>
      </c>
      <c r="BC58" s="33" t="s">
        <v>56</v>
      </c>
      <c r="BD58" s="33" t="s">
        <v>57</v>
      </c>
      <c r="BE58" s="33" t="s">
        <v>58</v>
      </c>
      <c r="BF58" s="33" t="s">
        <v>59</v>
      </c>
      <c r="BG58" s="33" t="s">
        <v>60</v>
      </c>
      <c r="BH58" s="33" t="s">
        <v>61</v>
      </c>
      <c r="BI58" s="33" t="s">
        <v>62</v>
      </c>
      <c r="BJ58" s="33" t="s">
        <v>63</v>
      </c>
      <c r="BK58" s="33" t="s">
        <v>64</v>
      </c>
      <c r="BL58" s="33" t="s">
        <v>65</v>
      </c>
      <c r="BM58" s="33" t="s">
        <v>66</v>
      </c>
      <c r="BN58" s="33" t="s">
        <v>67</v>
      </c>
      <c r="BO58" s="33" t="s">
        <v>68</v>
      </c>
      <c r="BP58" s="33" t="s">
        <v>69</v>
      </c>
      <c r="BQ58" s="33" t="s">
        <v>70</v>
      </c>
      <c r="BR58" s="33" t="s">
        <v>71</v>
      </c>
      <c r="BS58" s="33" t="s">
        <v>72</v>
      </c>
      <c r="BT58" s="33" t="s">
        <v>73</v>
      </c>
      <c r="BU58" s="33" t="s">
        <v>74</v>
      </c>
      <c r="BV58" s="33" t="s">
        <v>75</v>
      </c>
      <c r="BW58" s="33" t="s">
        <v>76</v>
      </c>
      <c r="BX58" s="33" t="s">
        <v>77</v>
      </c>
      <c r="BY58" s="33" t="s">
        <v>78</v>
      </c>
      <c r="BZ58" s="33" t="s">
        <v>79</v>
      </c>
      <c r="CA58" s="33" t="s">
        <v>80</v>
      </c>
      <c r="CB58" s="33" t="s">
        <v>81</v>
      </c>
      <c r="CC58" s="33" t="s">
        <v>82</v>
      </c>
      <c r="CD58" s="33" t="s">
        <v>83</v>
      </c>
      <c r="CE58" s="33" t="s">
        <v>84</v>
      </c>
      <c r="CF58" s="33" t="s">
        <v>85</v>
      </c>
      <c r="CG58" s="33" t="s">
        <v>86</v>
      </c>
      <c r="CH58" s="33" t="s">
        <v>87</v>
      </c>
      <c r="CI58" s="33" t="s">
        <v>88</v>
      </c>
      <c r="CJ58" s="33" t="s">
        <v>89</v>
      </c>
      <c r="CK58" s="33" t="s">
        <v>90</v>
      </c>
      <c r="CL58" s="33" t="s">
        <v>91</v>
      </c>
      <c r="CM58" s="33" t="s">
        <v>92</v>
      </c>
      <c r="CN58" s="33" t="s">
        <v>93</v>
      </c>
      <c r="CO58" s="33" t="s">
        <v>94</v>
      </c>
      <c r="CP58" s="33" t="s">
        <v>95</v>
      </c>
      <c r="CQ58" s="33" t="s">
        <v>96</v>
      </c>
      <c r="CR58" s="33" t="s">
        <v>97</v>
      </c>
      <c r="CS58" s="33" t="s">
        <v>98</v>
      </c>
      <c r="CT58" s="33" t="s">
        <v>99</v>
      </c>
      <c r="CU58" s="33" t="s">
        <v>100</v>
      </c>
      <c r="CV58" s="33" t="s">
        <v>101</v>
      </c>
      <c r="CW58" s="33" t="s">
        <v>102</v>
      </c>
      <c r="CX58" s="33" t="s">
        <v>103</v>
      </c>
      <c r="CY58" s="33" t="s">
        <v>104</v>
      </c>
      <c r="CZ58" s="33" t="s">
        <v>105</v>
      </c>
      <c r="DA58" s="33" t="s">
        <v>106</v>
      </c>
      <c r="DB58" s="33" t="s">
        <v>107</v>
      </c>
      <c r="DC58" s="33" t="s">
        <v>108</v>
      </c>
      <c r="DD58" s="33" t="s">
        <v>109</v>
      </c>
      <c r="DE58" s="33" t="s">
        <v>110</v>
      </c>
      <c r="DF58" s="33" t="s">
        <v>111</v>
      </c>
      <c r="DG58" s="33" t="s">
        <v>112</v>
      </c>
      <c r="DH58" s="33" t="s">
        <v>113</v>
      </c>
      <c r="DI58" s="33" t="s">
        <v>114</v>
      </c>
      <c r="DJ58" s="33" t="s">
        <v>115</v>
      </c>
      <c r="DK58" s="33" t="s">
        <v>116</v>
      </c>
      <c r="DL58" s="33" t="s">
        <v>117</v>
      </c>
      <c r="DM58" s="33" t="s">
        <v>118</v>
      </c>
      <c r="DN58" s="33" t="s">
        <v>119</v>
      </c>
      <c r="DO58" s="33" t="s">
        <v>120</v>
      </c>
      <c r="DP58" s="33" t="s">
        <v>121</v>
      </c>
      <c r="DQ58" s="33" t="s">
        <v>122</v>
      </c>
      <c r="DR58" s="33" t="s">
        <v>123</v>
      </c>
      <c r="DS58" s="33" t="s">
        <v>124</v>
      </c>
      <c r="DT58" s="33" t="s">
        <v>125</v>
      </c>
      <c r="DU58" s="33" t="s">
        <v>126</v>
      </c>
      <c r="DV58" s="33" t="s">
        <v>127</v>
      </c>
      <c r="DW58" s="33" t="s">
        <v>128</v>
      </c>
      <c r="DX58" s="33" t="s">
        <v>129</v>
      </c>
      <c r="DY58" s="33" t="s">
        <v>130</v>
      </c>
      <c r="DZ58" s="33" t="s">
        <v>131</v>
      </c>
    </row>
    <row r="59" spans="1:130" s="40" customFormat="1">
      <c r="A59" s="35" t="s">
        <v>204</v>
      </c>
      <c r="B59" s="36" t="s">
        <v>209</v>
      </c>
      <c r="C59" s="35" t="s">
        <v>0</v>
      </c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 t="s">
        <v>20</v>
      </c>
      <c r="T59" s="37" t="s">
        <v>21</v>
      </c>
      <c r="U59" s="37" t="s">
        <v>22</v>
      </c>
      <c r="V59" s="37" t="s">
        <v>24</v>
      </c>
      <c r="W59" s="37" t="s">
        <v>25</v>
      </c>
      <c r="X59" s="37" t="s">
        <v>26</v>
      </c>
      <c r="Y59" s="37" t="s">
        <v>27</v>
      </c>
      <c r="Z59" s="37" t="s">
        <v>28</v>
      </c>
      <c r="AA59" s="37" t="s">
        <v>29</v>
      </c>
      <c r="AB59" s="37" t="s">
        <v>30</v>
      </c>
      <c r="AC59" s="37" t="s">
        <v>31</v>
      </c>
      <c r="AD59" s="37" t="s">
        <v>32</v>
      </c>
      <c r="AE59" s="37" t="s">
        <v>33</v>
      </c>
      <c r="AF59" s="37" t="s">
        <v>34</v>
      </c>
      <c r="AG59" s="37" t="s">
        <v>35</v>
      </c>
      <c r="AH59" s="37" t="s">
        <v>36</v>
      </c>
      <c r="AI59" s="37" t="s">
        <v>37</v>
      </c>
      <c r="AJ59" s="37" t="s">
        <v>38</v>
      </c>
      <c r="AK59" s="37" t="s">
        <v>39</v>
      </c>
      <c r="AL59" s="37" t="s">
        <v>40</v>
      </c>
      <c r="AM59" s="37" t="s">
        <v>41</v>
      </c>
      <c r="AN59" s="37" t="s">
        <v>42</v>
      </c>
      <c r="AO59" s="37" t="s">
        <v>43</v>
      </c>
      <c r="AP59" s="37" t="s">
        <v>44</v>
      </c>
      <c r="AQ59" s="37" t="s">
        <v>45</v>
      </c>
      <c r="AR59" s="37" t="s">
        <v>46</v>
      </c>
      <c r="AS59" s="37" t="s">
        <v>47</v>
      </c>
      <c r="AT59" s="37" t="s">
        <v>48</v>
      </c>
      <c r="AU59" s="37" t="s">
        <v>49</v>
      </c>
      <c r="AV59" s="37" t="s">
        <v>23</v>
      </c>
      <c r="AW59" s="37" t="s">
        <v>50</v>
      </c>
      <c r="AX59" s="37" t="s">
        <v>51</v>
      </c>
      <c r="AY59" s="37" t="s">
        <v>52</v>
      </c>
      <c r="AZ59" s="37" t="s">
        <v>53</v>
      </c>
      <c r="BA59" s="37" t="s">
        <v>54</v>
      </c>
      <c r="BB59" s="37" t="s">
        <v>55</v>
      </c>
      <c r="BC59" s="37" t="s">
        <v>56</v>
      </c>
      <c r="BD59" s="37" t="s">
        <v>57</v>
      </c>
      <c r="BE59" s="37" t="s">
        <v>58</v>
      </c>
      <c r="BF59" s="37" t="s">
        <v>59</v>
      </c>
      <c r="BG59" s="37" t="s">
        <v>60</v>
      </c>
      <c r="BH59" s="37" t="s">
        <v>61</v>
      </c>
      <c r="BI59" s="37" t="s">
        <v>62</v>
      </c>
      <c r="BJ59" s="37" t="s">
        <v>63</v>
      </c>
      <c r="BK59" s="37" t="s">
        <v>64</v>
      </c>
      <c r="BL59" s="37" t="s">
        <v>65</v>
      </c>
      <c r="BM59" s="37" t="s">
        <v>66</v>
      </c>
      <c r="BN59" s="37" t="s">
        <v>67</v>
      </c>
      <c r="BO59" s="37" t="s">
        <v>68</v>
      </c>
      <c r="BP59" s="37" t="s">
        <v>69</v>
      </c>
      <c r="BQ59" s="37" t="s">
        <v>70</v>
      </c>
      <c r="BR59" s="37" t="s">
        <v>71</v>
      </c>
      <c r="BS59" s="37" t="s">
        <v>72</v>
      </c>
      <c r="BT59" s="37" t="s">
        <v>73</v>
      </c>
      <c r="BU59" s="37" t="s">
        <v>74</v>
      </c>
      <c r="BV59" s="37" t="s">
        <v>75</v>
      </c>
      <c r="BW59" s="37" t="s">
        <v>76</v>
      </c>
      <c r="BX59" s="37" t="s">
        <v>77</v>
      </c>
      <c r="BY59" s="37" t="s">
        <v>78</v>
      </c>
      <c r="BZ59" s="37" t="s">
        <v>79</v>
      </c>
      <c r="CA59" s="37" t="s">
        <v>80</v>
      </c>
      <c r="CB59" s="37" t="s">
        <v>81</v>
      </c>
      <c r="CC59" s="37" t="s">
        <v>82</v>
      </c>
      <c r="CD59" s="37" t="s">
        <v>83</v>
      </c>
      <c r="CE59" s="37" t="s">
        <v>84</v>
      </c>
      <c r="CF59" s="37" t="s">
        <v>85</v>
      </c>
      <c r="CG59" s="37" t="s">
        <v>86</v>
      </c>
      <c r="CH59" s="37" t="s">
        <v>87</v>
      </c>
      <c r="CI59" s="37" t="s">
        <v>88</v>
      </c>
      <c r="CJ59" s="37" t="s">
        <v>89</v>
      </c>
      <c r="CK59" s="37" t="s">
        <v>90</v>
      </c>
      <c r="CL59" s="37" t="s">
        <v>91</v>
      </c>
      <c r="CM59" s="37" t="s">
        <v>92</v>
      </c>
      <c r="CN59" s="37" t="s">
        <v>93</v>
      </c>
      <c r="CO59" s="37" t="s">
        <v>94</v>
      </c>
      <c r="CP59" s="37" t="s">
        <v>95</v>
      </c>
      <c r="CQ59" s="37" t="s">
        <v>96</v>
      </c>
      <c r="CR59" s="37" t="s">
        <v>97</v>
      </c>
      <c r="CS59" s="37" t="s">
        <v>98</v>
      </c>
      <c r="CT59" s="37" t="s">
        <v>99</v>
      </c>
      <c r="CU59" s="37" t="s">
        <v>100</v>
      </c>
      <c r="CV59" s="37" t="s">
        <v>101</v>
      </c>
      <c r="CW59" s="37" t="s">
        <v>102</v>
      </c>
      <c r="CX59" s="37" t="s">
        <v>103</v>
      </c>
      <c r="CY59" s="37" t="s">
        <v>104</v>
      </c>
      <c r="CZ59" s="37" t="s">
        <v>105</v>
      </c>
      <c r="DA59" s="37" t="s">
        <v>106</v>
      </c>
      <c r="DB59" s="37" t="s">
        <v>107</v>
      </c>
      <c r="DC59" s="37" t="s">
        <v>108</v>
      </c>
      <c r="DD59" s="37" t="s">
        <v>109</v>
      </c>
      <c r="DE59" s="37" t="s">
        <v>110</v>
      </c>
      <c r="DF59" s="37" t="s">
        <v>111</v>
      </c>
      <c r="DG59" s="37" t="s">
        <v>112</v>
      </c>
      <c r="DH59" s="37" t="s">
        <v>113</v>
      </c>
      <c r="DI59" s="39"/>
      <c r="DJ59" s="39"/>
      <c r="DK59" s="39"/>
      <c r="DL59" s="39"/>
      <c r="DM59" s="39"/>
      <c r="DN59" s="39"/>
      <c r="DO59" s="39"/>
      <c r="DP59" s="39"/>
      <c r="DQ59" s="39"/>
      <c r="DR59" s="39"/>
      <c r="DS59" s="39"/>
      <c r="DT59" s="39"/>
      <c r="DU59" s="39"/>
      <c r="DV59" s="39"/>
      <c r="DW59" s="39"/>
      <c r="DX59" s="39"/>
      <c r="DY59" s="39"/>
      <c r="DZ59" s="39"/>
    </row>
    <row r="60" spans="1:130">
      <c r="A60" s="30" t="s">
        <v>204</v>
      </c>
      <c r="B60" s="4" t="s">
        <v>142</v>
      </c>
      <c r="C60" s="2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>
        <v>2.2899999999999999E-3</v>
      </c>
      <c r="T60" s="11">
        <v>2.3E-3</v>
      </c>
      <c r="U60" s="11">
        <v>2.3E-3</v>
      </c>
      <c r="V60" s="11">
        <v>2.31E-3</v>
      </c>
      <c r="W60" s="11">
        <v>2.32E-3</v>
      </c>
      <c r="X60" s="11">
        <v>2.33E-3</v>
      </c>
      <c r="Y60" s="11">
        <v>2.3400000000000001E-3</v>
      </c>
      <c r="Z60" s="11">
        <v>2.3600000000000001E-3</v>
      </c>
      <c r="AA60" s="11">
        <v>2.3800000000000002E-3</v>
      </c>
      <c r="AB60" s="11">
        <v>2.4099999999999998E-3</v>
      </c>
      <c r="AC60" s="11">
        <v>2.4399999999999999E-3</v>
      </c>
      <c r="AD60" s="11">
        <v>2.49E-3</v>
      </c>
      <c r="AE60" s="11">
        <v>2.5400000000000002E-3</v>
      </c>
      <c r="AF60" s="11">
        <v>2.5999999999999999E-3</v>
      </c>
      <c r="AG60" s="11">
        <v>2.6900000000000001E-3</v>
      </c>
      <c r="AH60" s="11">
        <v>2.8E-3</v>
      </c>
      <c r="AI60" s="11">
        <v>2.9299999999999999E-3</v>
      </c>
      <c r="AJ60" s="11">
        <v>3.0699999999999998E-3</v>
      </c>
      <c r="AK60" s="11">
        <v>3.2399999999999998E-3</v>
      </c>
      <c r="AL60" s="11">
        <v>3.4199999999999999E-3</v>
      </c>
      <c r="AM60" s="11">
        <v>3.63E-3</v>
      </c>
      <c r="AN60" s="11">
        <v>3.8600000000000001E-3</v>
      </c>
      <c r="AO60" s="11">
        <v>4.1099999999999999E-3</v>
      </c>
      <c r="AP60" s="11">
        <v>4.3800000000000002E-3</v>
      </c>
      <c r="AQ60" s="11">
        <v>4.6699999999999997E-3</v>
      </c>
      <c r="AR60" s="11">
        <v>4.9800000000000001E-3</v>
      </c>
      <c r="AS60" s="11">
        <v>5.3099999999999996E-3</v>
      </c>
      <c r="AT60" s="11">
        <v>5.6600000000000001E-3</v>
      </c>
      <c r="AU60" s="11">
        <v>6.0400000000000002E-3</v>
      </c>
      <c r="AV60" s="11">
        <v>6.4400000000000004E-3</v>
      </c>
      <c r="AW60" s="11">
        <v>6.8799999999999998E-3</v>
      </c>
      <c r="AX60" s="11">
        <v>7.3499999999999998E-3</v>
      </c>
      <c r="AY60" s="11">
        <v>7.8600000000000007E-3</v>
      </c>
      <c r="AZ60" s="11">
        <v>8.4100000000000008E-3</v>
      </c>
      <c r="BA60" s="11">
        <v>9.0200000000000002E-3</v>
      </c>
      <c r="BB60" s="11">
        <v>9.6900000000000007E-3</v>
      </c>
      <c r="BC60" s="11">
        <v>1.043E-2</v>
      </c>
      <c r="BD60" s="11">
        <v>1.125E-2</v>
      </c>
      <c r="BE60" s="11">
        <v>1.2160000000000001E-2</v>
      </c>
      <c r="BF60" s="11">
        <v>1.319E-2</v>
      </c>
      <c r="BG60" s="11">
        <v>1.438E-2</v>
      </c>
      <c r="BH60" s="11">
        <v>1.576E-2</v>
      </c>
      <c r="BI60" s="11">
        <v>1.738E-2</v>
      </c>
      <c r="BJ60" s="11">
        <v>1.933E-2</v>
      </c>
      <c r="BK60" s="11">
        <v>2.1680000000000001E-2</v>
      </c>
      <c r="BL60" s="11">
        <v>2.4219999999999998E-2</v>
      </c>
      <c r="BM60" s="11">
        <v>2.64E-2</v>
      </c>
      <c r="BN60" s="11">
        <v>2.8299999999999999E-2</v>
      </c>
      <c r="BO60" s="11">
        <v>2.9590000000000002E-2</v>
      </c>
      <c r="BP60" s="11">
        <v>3.1130000000000001E-2</v>
      </c>
      <c r="BQ60" s="11">
        <v>3.2899999999999999E-2</v>
      </c>
      <c r="BR60" s="11">
        <v>3.4840000000000003E-2</v>
      </c>
      <c r="BS60" s="11">
        <v>3.6970000000000003E-2</v>
      </c>
      <c r="BT60" s="11">
        <v>3.9300000000000002E-2</v>
      </c>
      <c r="BU60" s="11">
        <v>4.1799999999999997E-2</v>
      </c>
      <c r="BV60" s="11">
        <v>4.4429999999999997E-2</v>
      </c>
      <c r="BW60" s="11">
        <v>4.7140000000000001E-2</v>
      </c>
      <c r="BX60" s="11">
        <v>4.9880000000000001E-2</v>
      </c>
      <c r="BY60" s="11">
        <v>5.2600000000000001E-2</v>
      </c>
      <c r="BZ60" s="11">
        <v>5.534E-2</v>
      </c>
      <c r="CA60" s="11">
        <v>5.7880000000000001E-2</v>
      </c>
      <c r="CB60" s="11">
        <v>6.0040000000000003E-2</v>
      </c>
      <c r="CC60" s="11">
        <v>6.2030000000000002E-2</v>
      </c>
      <c r="CD60" s="11">
        <v>6.4070000000000002E-2</v>
      </c>
      <c r="CE60" s="11">
        <v>6.6839999999999997E-2</v>
      </c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</row>
    <row r="61" spans="1:130">
      <c r="A61" s="30" t="s">
        <v>204</v>
      </c>
      <c r="B61" s="4" t="s">
        <v>140</v>
      </c>
      <c r="C61" s="2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>
        <v>8.9599999999999992E-3</v>
      </c>
      <c r="Y61" s="11">
        <v>9.0100000000000006E-3</v>
      </c>
      <c r="Z61" s="11">
        <v>9.0699999999999999E-3</v>
      </c>
      <c r="AA61" s="11">
        <v>9.1500000000000001E-3</v>
      </c>
      <c r="AB61" s="11">
        <v>9.2099999999999994E-3</v>
      </c>
      <c r="AC61" s="11">
        <v>9.2899999999999996E-3</v>
      </c>
      <c r="AD61" s="11">
        <v>9.3900000000000008E-3</v>
      </c>
      <c r="AE61" s="11">
        <v>9.4800000000000006E-3</v>
      </c>
      <c r="AF61" s="11">
        <v>9.58E-3</v>
      </c>
      <c r="AG61" s="11">
        <v>9.7099999999999999E-3</v>
      </c>
      <c r="AH61" s="11">
        <v>9.8399999999999998E-3</v>
      </c>
      <c r="AI61" s="11">
        <v>9.9799999999999993E-3</v>
      </c>
      <c r="AJ61" s="11">
        <v>1.014E-2</v>
      </c>
      <c r="AK61" s="11">
        <v>1.0319999999999999E-2</v>
      </c>
      <c r="AL61" s="11">
        <v>1.052E-2</v>
      </c>
      <c r="AM61" s="11">
        <v>1.073E-2</v>
      </c>
      <c r="AN61" s="11">
        <v>1.0970000000000001E-2</v>
      </c>
      <c r="AO61" s="11">
        <v>1.124E-2</v>
      </c>
      <c r="AP61" s="11">
        <v>1.1520000000000001E-2</v>
      </c>
      <c r="AQ61" s="11">
        <v>1.184E-2</v>
      </c>
      <c r="AR61" s="11">
        <v>1.218E-2</v>
      </c>
      <c r="AS61" s="11">
        <v>1.257E-2</v>
      </c>
      <c r="AT61" s="11">
        <v>1.2999999999999999E-2</v>
      </c>
      <c r="AU61" s="11">
        <v>1.3480000000000001E-2</v>
      </c>
      <c r="AV61" s="11">
        <v>1.3990000000000001E-2</v>
      </c>
      <c r="AW61" s="11">
        <v>1.457E-2</v>
      </c>
      <c r="AX61" s="11">
        <v>1.52E-2</v>
      </c>
      <c r="AY61" s="11">
        <v>1.5900000000000001E-2</v>
      </c>
      <c r="AZ61" s="11">
        <v>1.6670000000000001E-2</v>
      </c>
      <c r="BA61" s="11">
        <v>1.7520000000000001E-2</v>
      </c>
      <c r="BB61" s="11">
        <v>1.8450000000000001E-2</v>
      </c>
      <c r="BC61" s="11">
        <v>1.9470000000000001E-2</v>
      </c>
      <c r="BD61" s="11">
        <v>2.061E-2</v>
      </c>
      <c r="BE61" s="11">
        <v>2.1860000000000001E-2</v>
      </c>
      <c r="BF61" s="11">
        <v>2.325E-2</v>
      </c>
      <c r="BG61" s="11">
        <v>2.477E-2</v>
      </c>
      <c r="BH61" s="11">
        <v>2.6429999999999999E-2</v>
      </c>
      <c r="BI61" s="11">
        <v>2.8289999999999999E-2</v>
      </c>
      <c r="BJ61" s="11">
        <v>3.032E-2</v>
      </c>
      <c r="BK61" s="11">
        <v>3.2550000000000003E-2</v>
      </c>
      <c r="BL61" s="11">
        <v>3.5009999999999999E-2</v>
      </c>
      <c r="BM61" s="11">
        <v>3.7719999999999997E-2</v>
      </c>
      <c r="BN61" s="11">
        <v>4.0710000000000003E-2</v>
      </c>
      <c r="BO61" s="11">
        <v>4.3389999999999998E-2</v>
      </c>
      <c r="BP61" s="11">
        <v>4.759E-2</v>
      </c>
      <c r="BQ61" s="11">
        <v>5.1560000000000002E-2</v>
      </c>
      <c r="BR61" s="11">
        <v>5.5899999999999998E-2</v>
      </c>
      <c r="BS61" s="11">
        <v>6.0690000000000001E-2</v>
      </c>
      <c r="BT61" s="11">
        <v>6.5949999999999995E-2</v>
      </c>
      <c r="BU61" s="11">
        <v>7.1709999999999996E-2</v>
      </c>
      <c r="BV61" s="11">
        <v>7.8020000000000006E-2</v>
      </c>
      <c r="BW61" s="11">
        <v>8.4930000000000005E-2</v>
      </c>
      <c r="BX61" s="11">
        <v>9.2509999999999995E-2</v>
      </c>
      <c r="BY61" s="11">
        <v>0.10077</v>
      </c>
      <c r="BZ61" s="11">
        <v>0.10987</v>
      </c>
      <c r="CA61" s="11">
        <v>0.11971999999999999</v>
      </c>
      <c r="CB61" s="11">
        <v>0.13053000000000001</v>
      </c>
      <c r="CC61" s="11">
        <v>0.14226</v>
      </c>
      <c r="CD61" s="11">
        <v>0.15501999999999999</v>
      </c>
      <c r="CE61" s="11">
        <v>0.16893</v>
      </c>
      <c r="CF61" s="11">
        <v>0.18396999999999999</v>
      </c>
      <c r="CG61" s="11">
        <v>0.20014000000000001</v>
      </c>
      <c r="CH61" s="11">
        <v>0.21787999999999999</v>
      </c>
      <c r="CI61" s="11">
        <v>0.23677000000000001</v>
      </c>
      <c r="CJ61" s="11">
        <v>0.25720999999999999</v>
      </c>
      <c r="CK61" s="11">
        <v>0.27977999999999997</v>
      </c>
      <c r="CL61" s="11">
        <v>0.30249999999999999</v>
      </c>
      <c r="CM61" s="11">
        <v>0.32761000000000001</v>
      </c>
      <c r="CN61" s="11">
        <v>0.35382999999999998</v>
      </c>
      <c r="CO61" s="11">
        <v>0.38241000000000003</v>
      </c>
      <c r="CP61" s="11">
        <v>0.40988000000000002</v>
      </c>
      <c r="CQ61" s="11">
        <v>0.44335000000000002</v>
      </c>
      <c r="CR61" s="11">
        <v>0.47788000000000003</v>
      </c>
      <c r="CS61" s="11">
        <v>0.50846999999999998</v>
      </c>
      <c r="CT61" s="11">
        <v>0.55171999999999999</v>
      </c>
      <c r="CU61" s="11">
        <v>0.61538000000000004</v>
      </c>
      <c r="CV61" s="11">
        <v>0.8</v>
      </c>
      <c r="CW61" s="11">
        <v>1</v>
      </c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</row>
    <row r="62" spans="1:130">
      <c r="A62" s="17" t="s">
        <v>204</v>
      </c>
      <c r="B62" s="16" t="s">
        <v>185</v>
      </c>
      <c r="C62" s="17"/>
      <c r="D62" s="18">
        <v>72.572470405405838</v>
      </c>
      <c r="E62" s="18">
        <v>73.356760584838426</v>
      </c>
      <c r="F62" s="18">
        <v>72.56880481000421</v>
      </c>
      <c r="G62" s="18">
        <v>71.650247588558031</v>
      </c>
      <c r="H62" s="18">
        <v>70.692992509487254</v>
      </c>
      <c r="I62" s="18">
        <v>69.719159689851793</v>
      </c>
      <c r="J62" s="18">
        <v>68.751612660538171</v>
      </c>
      <c r="K62" s="18">
        <v>67.777020680334189</v>
      </c>
      <c r="L62" s="18">
        <v>66.797250371371732</v>
      </c>
      <c r="M62" s="18">
        <v>65.815076712724988</v>
      </c>
      <c r="N62" s="18">
        <v>64.832103207712848</v>
      </c>
      <c r="O62" s="18">
        <v>63.848985984159476</v>
      </c>
      <c r="P62" s="18">
        <v>62.866105465623754</v>
      </c>
      <c r="Q62" s="18">
        <v>61.88522821134508</v>
      </c>
      <c r="R62" s="18">
        <v>60.910764732156252</v>
      </c>
      <c r="S62" s="18">
        <v>59.943302736385135</v>
      </c>
      <c r="T62" s="18">
        <v>58.988814993376572</v>
      </c>
      <c r="U62" s="18">
        <v>58.043614390941016</v>
      </c>
      <c r="V62" s="18">
        <v>57.107101345047688</v>
      </c>
      <c r="W62" s="18">
        <v>56.177611942793334</v>
      </c>
      <c r="X62" s="18">
        <v>55.253739889674577</v>
      </c>
      <c r="Y62" s="18">
        <v>54.335408869256838</v>
      </c>
      <c r="Z62" s="18">
        <v>53.423304179619016</v>
      </c>
      <c r="AA62" s="18">
        <v>52.514849827941013</v>
      </c>
      <c r="AB62" s="18">
        <v>51.607924899266465</v>
      </c>
      <c r="AC62" s="18">
        <v>50.701021097738838</v>
      </c>
      <c r="AD62" s="18">
        <v>49.793574066386128</v>
      </c>
      <c r="AE62" s="18">
        <v>48.885807370126699</v>
      </c>
      <c r="AF62" s="18">
        <v>47.978598094605807</v>
      </c>
      <c r="AG62" s="18">
        <v>47.071832888323613</v>
      </c>
      <c r="AH62" s="18">
        <v>46.166428933559111</v>
      </c>
      <c r="AI62" s="18">
        <v>45.261856847136904</v>
      </c>
      <c r="AJ62" s="18">
        <v>44.359347239576422</v>
      </c>
      <c r="AK62" s="18">
        <v>43.457809309868011</v>
      </c>
      <c r="AL62" s="18">
        <v>42.558678170417039</v>
      </c>
      <c r="AM62" s="18">
        <v>41.661445594616779</v>
      </c>
      <c r="AN62" s="18">
        <v>40.767412600598846</v>
      </c>
      <c r="AO62" s="18">
        <v>39.87584333308363</v>
      </c>
      <c r="AP62" s="18">
        <v>38.988395028577926</v>
      </c>
      <c r="AQ62" s="18">
        <v>38.104424190102748</v>
      </c>
      <c r="AR62" s="18">
        <v>37.225235403564938</v>
      </c>
      <c r="AS62" s="18">
        <v>36.351226278087594</v>
      </c>
      <c r="AT62" s="18">
        <v>35.481878532595232</v>
      </c>
      <c r="AU62" s="18">
        <v>34.618534988973742</v>
      </c>
      <c r="AV62" s="18">
        <v>33.7608488274115</v>
      </c>
      <c r="AW62" s="18">
        <v>32.909948125114376</v>
      </c>
      <c r="AX62" s="18">
        <v>32.065555864423906</v>
      </c>
      <c r="AY62" s="18">
        <v>31.228242362878525</v>
      </c>
      <c r="AZ62" s="18">
        <v>30.397741786005312</v>
      </c>
      <c r="BA62" s="18">
        <v>29.573615097241884</v>
      </c>
      <c r="BB62" s="18">
        <v>28.756212006012905</v>
      </c>
      <c r="BC62" s="18">
        <v>27.944893004553741</v>
      </c>
      <c r="BD62" s="18">
        <v>27.140150075054002</v>
      </c>
      <c r="BE62" s="18">
        <v>26.343364080118487</v>
      </c>
      <c r="BF62" s="18">
        <v>25.555877935208123</v>
      </c>
      <c r="BG62" s="18">
        <v>24.778668510366089</v>
      </c>
      <c r="BH62" s="18">
        <v>24.012231702416056</v>
      </c>
      <c r="BI62" s="18">
        <v>23.256530414508791</v>
      </c>
      <c r="BJ62" s="18">
        <v>22.511345884068803</v>
      </c>
      <c r="BK62" s="18">
        <v>21.776252417954684</v>
      </c>
      <c r="BL62" s="18">
        <v>21.051038837701036</v>
      </c>
      <c r="BM62" s="18">
        <v>20.3359472224796</v>
      </c>
      <c r="BN62" s="18">
        <v>19.631441703792191</v>
      </c>
      <c r="BO62" s="18">
        <v>18.937839050784216</v>
      </c>
      <c r="BP62" s="18">
        <v>18.255520893940261</v>
      </c>
      <c r="BQ62" s="18">
        <v>17.584929343607477</v>
      </c>
      <c r="BR62" s="18">
        <v>16.92594628263215</v>
      </c>
      <c r="BS62" s="18">
        <v>16.279015144702321</v>
      </c>
      <c r="BT62" s="18">
        <v>15.645772389848146</v>
      </c>
      <c r="BU62" s="18">
        <v>15.028345376084101</v>
      </c>
      <c r="BV62" s="18">
        <v>14.428316160727029</v>
      </c>
      <c r="BW62" s="18">
        <v>13.846101049426645</v>
      </c>
      <c r="BX62" s="18">
        <v>13.281577601041713</v>
      </c>
      <c r="BY62" s="18">
        <v>12.735113915674193</v>
      </c>
      <c r="BZ62" s="18">
        <v>12.207049620349871</v>
      </c>
      <c r="CA62" s="18">
        <v>11.697735650131994</v>
      </c>
      <c r="CB62" s="18">
        <v>11.207464048373019</v>
      </c>
      <c r="CC62" s="18">
        <v>10.736688216904446</v>
      </c>
      <c r="CD62" s="18">
        <v>10.286184858592875</v>
      </c>
      <c r="CE62" s="18">
        <v>9.8570072069318861</v>
      </c>
      <c r="CF62" s="18">
        <v>9.4481638470753708</v>
      </c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</row>
    <row r="63" spans="1:130">
      <c r="A63" s="7" t="s">
        <v>204</v>
      </c>
      <c r="B63" s="6" t="s">
        <v>148</v>
      </c>
      <c r="C63" s="7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>
        <v>5.31E-4</v>
      </c>
      <c r="T63" s="11">
        <v>5.44E-4</v>
      </c>
      <c r="U63" s="11">
        <v>5.5900000000000004E-4</v>
      </c>
      <c r="V63" s="11">
        <v>5.7600000000000001E-4</v>
      </c>
      <c r="W63" s="11">
        <v>5.9400000000000002E-4</v>
      </c>
      <c r="X63" s="11">
        <v>6.1399999999999996E-4</v>
      </c>
      <c r="Y63" s="11">
        <v>6.3599999999999996E-4</v>
      </c>
      <c r="Z63" s="11">
        <v>6.6100000000000002E-4</v>
      </c>
      <c r="AA63" s="11">
        <v>6.8800000000000003E-4</v>
      </c>
      <c r="AB63" s="11">
        <v>7.18E-4</v>
      </c>
      <c r="AC63" s="11">
        <v>7.5100000000000004E-4</v>
      </c>
      <c r="AD63" s="11">
        <v>7.8700000000000005E-4</v>
      </c>
      <c r="AE63" s="11">
        <v>8.2799999999999996E-4</v>
      </c>
      <c r="AF63" s="11">
        <v>8.7299999999999997E-4</v>
      </c>
      <c r="AG63" s="11">
        <v>9.2199999999999997E-4</v>
      </c>
      <c r="AH63" s="11">
        <v>9.7599999999999998E-4</v>
      </c>
      <c r="AI63" s="11">
        <v>1.036E-3</v>
      </c>
      <c r="AJ63" s="11">
        <v>1.1019999999999999E-3</v>
      </c>
      <c r="AK63" s="11">
        <v>1.175E-3</v>
      </c>
      <c r="AL63" s="11">
        <v>1.255E-3</v>
      </c>
      <c r="AM63" s="11">
        <v>1.3439999999999999E-3</v>
      </c>
      <c r="AN63" s="11">
        <v>1.4430000000000001E-3</v>
      </c>
      <c r="AO63" s="11">
        <v>1.5510000000000001E-3</v>
      </c>
      <c r="AP63" s="11">
        <v>1.67E-3</v>
      </c>
      <c r="AQ63" s="11">
        <v>1.8029999999999999E-3</v>
      </c>
      <c r="AR63" s="11">
        <v>1.949E-3</v>
      </c>
      <c r="AS63" s="11">
        <v>2.1229999999999999E-3</v>
      </c>
      <c r="AT63" s="11">
        <v>2.3509999999999998E-3</v>
      </c>
      <c r="AU63" s="11">
        <v>2.643E-3</v>
      </c>
      <c r="AV63" s="11">
        <v>2.996E-3</v>
      </c>
      <c r="AW63" s="11">
        <v>3.4060000000000002E-3</v>
      </c>
      <c r="AX63" s="11">
        <v>3.8709999999999999E-3</v>
      </c>
      <c r="AY63" s="11">
        <v>4.3870000000000003E-3</v>
      </c>
      <c r="AZ63" s="11">
        <v>4.9519999999999998E-3</v>
      </c>
      <c r="BA63" s="11">
        <v>5.5630000000000002E-3</v>
      </c>
      <c r="BB63" s="11">
        <v>6.2189999999999997E-3</v>
      </c>
      <c r="BC63" s="11">
        <v>6.9170000000000004E-3</v>
      </c>
      <c r="BD63" s="11">
        <v>7.6579999999999999E-3</v>
      </c>
      <c r="BE63" s="11">
        <v>8.4390000000000003E-3</v>
      </c>
      <c r="BF63" s="11">
        <v>9.2610000000000001E-3</v>
      </c>
      <c r="BG63" s="11">
        <v>1.0123999999999999E-2</v>
      </c>
      <c r="BH63" s="11">
        <v>1.1028E-2</v>
      </c>
      <c r="BI63" s="11">
        <v>1.1976000000000001E-2</v>
      </c>
      <c r="BJ63" s="11">
        <v>1.2968E-2</v>
      </c>
      <c r="BK63" s="11">
        <v>1.4009000000000001E-2</v>
      </c>
      <c r="BL63" s="11">
        <v>1.5102000000000001E-2</v>
      </c>
      <c r="BM63" s="11">
        <v>1.6219000000000001E-2</v>
      </c>
      <c r="BN63" s="11">
        <v>1.7634E-2</v>
      </c>
      <c r="BO63" s="11">
        <v>0.191167</v>
      </c>
      <c r="BP63" s="11">
        <v>2.0927000000000001E-2</v>
      </c>
      <c r="BQ63" s="11">
        <v>2.2939999999999999E-2</v>
      </c>
      <c r="BR63" s="11">
        <v>2.5211999999999998E-2</v>
      </c>
      <c r="BS63" s="11">
        <v>2.7729E-2</v>
      </c>
      <c r="BT63" s="11">
        <v>3.0456E-2</v>
      </c>
      <c r="BU63" s="11">
        <v>3.3352E-2</v>
      </c>
      <c r="BV63" s="11">
        <v>3.6375999999999999E-2</v>
      </c>
      <c r="BW63" s="11">
        <v>3.9509000000000002E-2</v>
      </c>
      <c r="BX63" s="11">
        <v>4.2761E-2</v>
      </c>
      <c r="BY63" s="11">
        <v>4.6204000000000002E-2</v>
      </c>
      <c r="BZ63" s="11">
        <v>4.9904999999999998E-2</v>
      </c>
      <c r="CA63" s="11">
        <v>5.3884000000000001E-2</v>
      </c>
      <c r="CB63" s="11">
        <v>5.8164E-2</v>
      </c>
      <c r="CC63" s="11">
        <v>6.2760999999999997E-2</v>
      </c>
      <c r="CD63" s="11">
        <v>6.7696999999999993E-2</v>
      </c>
      <c r="CE63" s="11">
        <v>7.2997000000000006E-2</v>
      </c>
      <c r="CF63" s="11">
        <v>7.8684000000000004E-2</v>
      </c>
      <c r="CG63" s="11">
        <v>8.4781999999999996E-2</v>
      </c>
      <c r="CH63" s="11">
        <v>9.1318999999999997E-2</v>
      </c>
      <c r="CI63" s="11">
        <v>9.8322000000000007E-2</v>
      </c>
      <c r="CJ63" s="11">
        <v>0.105819</v>
      </c>
      <c r="CK63" s="11">
        <v>0.113841</v>
      </c>
      <c r="CL63" s="11">
        <v>0.122415</v>
      </c>
      <c r="CM63" s="11">
        <v>0.131575</v>
      </c>
      <c r="CN63" s="11">
        <v>0.14135200000000001</v>
      </c>
      <c r="CO63" s="11">
        <v>0.15177499999999999</v>
      </c>
      <c r="CP63" s="11">
        <v>0.162879</v>
      </c>
      <c r="CQ63" s="11">
        <v>0.17469399999999999</v>
      </c>
      <c r="CR63" s="11">
        <v>0.187254</v>
      </c>
      <c r="CS63" s="11">
        <v>0.20058500000000001</v>
      </c>
      <c r="CT63" s="11">
        <v>0.21470400000000001</v>
      </c>
      <c r="CU63" s="11">
        <v>0.22963900000000001</v>
      </c>
      <c r="CV63" s="11">
        <v>0.24540200000000001</v>
      </c>
      <c r="CW63" s="11">
        <v>0.26252799999999998</v>
      </c>
      <c r="CX63" s="11">
        <v>0.28235399999999999</v>
      </c>
      <c r="CY63" s="11">
        <v>0.305786</v>
      </c>
      <c r="CZ63" s="11">
        <v>0.33315400000000001</v>
      </c>
      <c r="DA63" s="11">
        <v>0.36515399999999998</v>
      </c>
      <c r="DB63" s="11">
        <v>0.40262199999999998</v>
      </c>
      <c r="DC63" s="11">
        <v>0.44647900000000001</v>
      </c>
      <c r="DD63" s="11">
        <v>0.49709399999999998</v>
      </c>
      <c r="DE63" s="11">
        <v>0.55757800000000002</v>
      </c>
      <c r="DF63" s="11">
        <v>0.63073699999999999</v>
      </c>
      <c r="DG63" s="11">
        <v>0.72294199999999997</v>
      </c>
      <c r="DH63" s="11">
        <v>0.80442899999999995</v>
      </c>
      <c r="DI63" s="11">
        <v>0.91666700000000001</v>
      </c>
      <c r="DJ63" s="11">
        <v>1</v>
      </c>
      <c r="DK63" s="11"/>
      <c r="DL63" s="15"/>
      <c r="DM63" s="15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</row>
    <row r="64" spans="1:130">
      <c r="A64" s="28" t="s">
        <v>204</v>
      </c>
      <c r="B64" s="27" t="s">
        <v>141</v>
      </c>
      <c r="C64" s="28"/>
      <c r="D64" s="23">
        <v>3.6020000000000003E-2</v>
      </c>
      <c r="E64" s="23">
        <v>2.7490000000000001E-2</v>
      </c>
      <c r="F64" s="23">
        <v>2.085E-2</v>
      </c>
      <c r="G64" s="23">
        <v>1.575E-2</v>
      </c>
      <c r="H64" s="23">
        <v>1.187E-2</v>
      </c>
      <c r="I64" s="23">
        <v>8.9700000000000005E-3</v>
      </c>
      <c r="J64" s="23">
        <v>6.8700000000000002E-3</v>
      </c>
      <c r="K64" s="23">
        <v>5.4000000000000003E-3</v>
      </c>
      <c r="L64" s="23">
        <v>4.4299999999999999E-3</v>
      </c>
      <c r="M64" s="23">
        <v>3.8800000000000002E-3</v>
      </c>
      <c r="N64" s="23">
        <v>3.64E-3</v>
      </c>
      <c r="O64" s="23">
        <v>3.6600000000000001E-3</v>
      </c>
      <c r="P64" s="23">
        <v>3.8700000000000002E-3</v>
      </c>
      <c r="Q64" s="23">
        <v>4.2199999999999998E-3</v>
      </c>
      <c r="R64" s="23">
        <v>4.6600000000000001E-3</v>
      </c>
      <c r="S64" s="23">
        <v>5.1500000000000001E-3</v>
      </c>
      <c r="T64" s="23">
        <v>5.6499999999999996E-3</v>
      </c>
      <c r="U64" s="23">
        <v>6.1000000000000004E-3</v>
      </c>
      <c r="V64" s="23">
        <v>6.4799999999999996E-3</v>
      </c>
      <c r="W64" s="23">
        <v>6.7499999999999999E-3</v>
      </c>
      <c r="X64" s="23">
        <v>6.8999999999999999E-3</v>
      </c>
      <c r="Y64" s="23">
        <v>6.9199999999999999E-3</v>
      </c>
      <c r="Z64" s="23">
        <v>6.8100000000000001E-3</v>
      </c>
      <c r="AA64" s="23">
        <v>6.62E-3</v>
      </c>
      <c r="AB64" s="23">
        <v>6.4099999999999999E-3</v>
      </c>
      <c r="AC64" s="23">
        <v>6.2399999999999999E-3</v>
      </c>
      <c r="AD64" s="23">
        <v>6.3E-3</v>
      </c>
      <c r="AE64" s="23">
        <v>6.3800000000000003E-3</v>
      </c>
      <c r="AF64" s="23">
        <v>6.4599999999999996E-3</v>
      </c>
      <c r="AG64" s="23">
        <v>6.5399999999999998E-3</v>
      </c>
      <c r="AH64" s="23">
        <v>6.6400000000000001E-3</v>
      </c>
      <c r="AI64" s="23">
        <v>6.7499999999999999E-3</v>
      </c>
      <c r="AJ64" s="23">
        <v>6.8700000000000002E-3</v>
      </c>
      <c r="AK64" s="23">
        <v>6.9899999999999997E-3</v>
      </c>
      <c r="AL64" s="23">
        <v>7.1399999999999996E-3</v>
      </c>
      <c r="AM64" s="23">
        <v>7.2899999999999996E-3</v>
      </c>
      <c r="AN64" s="23">
        <v>7.4700000000000001E-3</v>
      </c>
      <c r="AO64" s="23">
        <v>7.6600000000000001E-3</v>
      </c>
      <c r="AP64" s="23">
        <v>7.8600000000000007E-3</v>
      </c>
      <c r="AQ64" s="23">
        <v>8.09E-3</v>
      </c>
      <c r="AR64" s="23">
        <v>8.3400000000000002E-3</v>
      </c>
      <c r="AS64" s="23">
        <v>8.6199999999999992E-3</v>
      </c>
      <c r="AT64" s="23">
        <v>8.9300000000000004E-3</v>
      </c>
      <c r="AU64" s="23">
        <v>9.2599999999999991E-3</v>
      </c>
      <c r="AV64" s="23">
        <v>9.6299999999999997E-3</v>
      </c>
      <c r="AW64" s="23">
        <v>1.0030000000000001E-2</v>
      </c>
      <c r="AX64" s="23">
        <v>1.048E-2</v>
      </c>
      <c r="AY64" s="23">
        <v>1.0970000000000001E-2</v>
      </c>
      <c r="AZ64" s="23">
        <v>1.1509999999999999E-2</v>
      </c>
      <c r="BA64" s="23">
        <v>1.21E-2</v>
      </c>
      <c r="BB64" s="23">
        <v>1.2749999999999999E-2</v>
      </c>
      <c r="BC64" s="23">
        <v>1.3469999999999999E-2</v>
      </c>
      <c r="BD64" s="23">
        <v>1.427E-2</v>
      </c>
      <c r="BE64" s="23">
        <v>1.512E-2</v>
      </c>
      <c r="BF64" s="23">
        <v>1.6070000000000001E-2</v>
      </c>
      <c r="BG64" s="23">
        <v>1.712E-2</v>
      </c>
      <c r="BH64" s="23">
        <v>1.8259999999999998E-2</v>
      </c>
      <c r="BI64" s="23">
        <v>1.9529999999999999E-2</v>
      </c>
      <c r="BJ64" s="23">
        <v>2.0910000000000002E-2</v>
      </c>
      <c r="BK64" s="23">
        <v>2.2440000000000002E-2</v>
      </c>
      <c r="BL64" s="23">
        <v>2.4109999999999999E-2</v>
      </c>
      <c r="BM64" s="23">
        <v>2.5940000000000001E-2</v>
      </c>
      <c r="BN64" s="23">
        <v>2.7959999999999999E-2</v>
      </c>
      <c r="BO64" s="23">
        <v>3.0169999999999999E-2</v>
      </c>
      <c r="BP64" s="23">
        <v>3.2599999999999997E-2</v>
      </c>
      <c r="BQ64" s="23">
        <v>3.5270000000000003E-2</v>
      </c>
      <c r="BR64" s="23">
        <v>3.8190000000000002E-2</v>
      </c>
      <c r="BS64" s="23">
        <v>4.1399999999999999E-2</v>
      </c>
      <c r="BT64" s="23">
        <v>4.4909999999999999E-2</v>
      </c>
      <c r="BU64" s="23">
        <v>4.8759999999999998E-2</v>
      </c>
      <c r="BV64" s="23">
        <v>5.2979999999999999E-2</v>
      </c>
      <c r="BW64" s="23">
        <v>5.7599999999999998E-2</v>
      </c>
      <c r="BX64" s="23">
        <v>6.2659999999999993E-2</v>
      </c>
      <c r="BY64" s="23">
        <v>6.8190000000000001E-2</v>
      </c>
      <c r="BZ64" s="23">
        <v>7.424E-2</v>
      </c>
      <c r="CA64" s="23">
        <v>8.0850000000000005E-2</v>
      </c>
      <c r="CB64" s="23">
        <v>8.8059999999999999E-2</v>
      </c>
      <c r="CC64" s="23">
        <v>9.5930000000000001E-2</v>
      </c>
      <c r="CD64" s="23">
        <v>0.10452</v>
      </c>
      <c r="CE64" s="23">
        <v>0.11386</v>
      </c>
      <c r="CF64" s="23">
        <v>0.12403</v>
      </c>
      <c r="CG64" s="23">
        <v>0.13508000000000001</v>
      </c>
      <c r="CH64" s="23">
        <v>0.14707999999999999</v>
      </c>
      <c r="CI64" s="23">
        <v>0.16009000000000001</v>
      </c>
      <c r="CJ64" s="23">
        <v>0.17416999999999999</v>
      </c>
      <c r="CK64" s="23">
        <v>0.18939</v>
      </c>
      <c r="CL64" s="23">
        <v>0.20580999999999999</v>
      </c>
      <c r="CM64" s="23">
        <v>0.22348000000000001</v>
      </c>
      <c r="CN64" s="23">
        <v>0.24248</v>
      </c>
      <c r="CO64" s="23">
        <v>0.26283000000000001</v>
      </c>
      <c r="CP64" s="23">
        <v>0.28460000000000002</v>
      </c>
      <c r="CQ64" s="23">
        <v>0.30780000000000002</v>
      </c>
      <c r="CR64" s="23">
        <v>0.33245999999999998</v>
      </c>
      <c r="CS64" s="23">
        <v>0.35857</v>
      </c>
      <c r="CT64" s="23">
        <v>0.38612000000000002</v>
      </c>
      <c r="CU64" s="23">
        <v>0.41505999999999998</v>
      </c>
      <c r="CV64" s="23">
        <v>0.44531999999999999</v>
      </c>
      <c r="CW64" s="23">
        <v>0.47681000000000001</v>
      </c>
      <c r="CX64" s="23">
        <v>0.50939000000000001</v>
      </c>
      <c r="CY64" s="23">
        <v>0.54288999999999998</v>
      </c>
      <c r="CZ64" s="23">
        <v>0.57711000000000001</v>
      </c>
      <c r="DA64" s="23">
        <v>0.61180999999999996</v>
      </c>
      <c r="DB64" s="23">
        <v>0.64670000000000005</v>
      </c>
      <c r="DC64" s="23">
        <v>0.71577999999999997</v>
      </c>
      <c r="DD64" s="23">
        <v>0.74926999999999999</v>
      </c>
      <c r="DE64" s="23"/>
      <c r="DF64" s="23"/>
      <c r="DG64" s="23"/>
      <c r="DH64" s="23"/>
      <c r="DI64" s="23"/>
      <c r="DJ64" s="23"/>
      <c r="DK64" s="23"/>
      <c r="DL64" s="23"/>
      <c r="DM64" s="23"/>
      <c r="DN64" s="23"/>
      <c r="DO64" s="23"/>
      <c r="DP64" s="23"/>
      <c r="DQ64" s="23"/>
      <c r="DR64" s="23"/>
      <c r="DS64" s="23"/>
      <c r="DT64" s="23"/>
      <c r="DU64" s="23"/>
      <c r="DV64" s="23"/>
      <c r="DW64" s="23"/>
      <c r="DX64" s="23"/>
      <c r="DY64" s="23"/>
      <c r="DZ64" s="23"/>
    </row>
    <row r="65" spans="1:130">
      <c r="A65" s="28" t="s">
        <v>204</v>
      </c>
      <c r="B65" s="25" t="s">
        <v>149</v>
      </c>
      <c r="C65" s="26"/>
      <c r="D65" s="23">
        <v>3.6020000000000003E-2</v>
      </c>
      <c r="E65" s="23">
        <v>2.7490000000000001E-2</v>
      </c>
      <c r="F65" s="23">
        <v>2.085E-2</v>
      </c>
      <c r="G65" s="23">
        <v>1.575E-2</v>
      </c>
      <c r="H65" s="23">
        <v>1.187E-2</v>
      </c>
      <c r="I65" s="23">
        <v>8.9700000000000005E-3</v>
      </c>
      <c r="J65" s="23">
        <v>6.8700000000000002E-3</v>
      </c>
      <c r="K65" s="23">
        <v>5.4000000000000003E-3</v>
      </c>
      <c r="L65" s="23">
        <v>4.4299999999999999E-3</v>
      </c>
      <c r="M65" s="23">
        <v>3.8800000000000002E-3</v>
      </c>
      <c r="N65" s="23">
        <v>3.64E-3</v>
      </c>
      <c r="O65" s="23">
        <v>3.6600000000000001E-3</v>
      </c>
      <c r="P65" s="23">
        <v>3.8700000000000002E-3</v>
      </c>
      <c r="Q65" s="23">
        <v>4.2199999999999998E-3</v>
      </c>
      <c r="R65" s="23">
        <v>4.6600000000000001E-3</v>
      </c>
      <c r="S65" s="23">
        <v>5.1500000000000001E-3</v>
      </c>
      <c r="T65" s="23">
        <v>5.6499999999999996E-3</v>
      </c>
      <c r="U65" s="23">
        <v>6.1000000000000004E-3</v>
      </c>
      <c r="V65" s="23">
        <v>6.4799999999999996E-3</v>
      </c>
      <c r="W65" s="23">
        <v>6.7499999999999999E-3</v>
      </c>
      <c r="X65" s="23">
        <v>6.8999999999999999E-3</v>
      </c>
      <c r="Y65" s="23">
        <v>6.9199999999999999E-3</v>
      </c>
      <c r="Z65" s="23">
        <v>6.8100000000000001E-3</v>
      </c>
      <c r="AA65" s="23">
        <v>6.62E-3</v>
      </c>
      <c r="AB65" s="23">
        <v>6.4099999999999999E-3</v>
      </c>
      <c r="AC65" s="23">
        <v>6.2399999999999999E-3</v>
      </c>
      <c r="AD65" s="23">
        <v>6.3E-3</v>
      </c>
      <c r="AE65" s="23">
        <v>6.3800000000000003E-3</v>
      </c>
      <c r="AF65" s="23">
        <v>6.4599999999999996E-3</v>
      </c>
      <c r="AG65" s="23">
        <v>6.5399999999999998E-3</v>
      </c>
      <c r="AH65" s="23">
        <v>6.6400000000000001E-3</v>
      </c>
      <c r="AI65" s="23">
        <v>6.7499999999999999E-3</v>
      </c>
      <c r="AJ65" s="23">
        <v>6.8700000000000002E-3</v>
      </c>
      <c r="AK65" s="23">
        <v>6.9899999999999997E-3</v>
      </c>
      <c r="AL65" s="23">
        <v>7.1399999999999996E-3</v>
      </c>
      <c r="AM65" s="23">
        <v>7.2899999999999996E-3</v>
      </c>
      <c r="AN65" s="23">
        <v>7.4700000000000001E-3</v>
      </c>
      <c r="AO65" s="23">
        <v>7.6600000000000001E-3</v>
      </c>
      <c r="AP65" s="23">
        <v>7.8600000000000007E-3</v>
      </c>
      <c r="AQ65" s="23">
        <v>8.09E-3</v>
      </c>
      <c r="AR65" s="23">
        <v>8.3400000000000002E-3</v>
      </c>
      <c r="AS65" s="23">
        <v>8.6199999999999992E-3</v>
      </c>
      <c r="AT65" s="23">
        <v>8.9300000000000004E-3</v>
      </c>
      <c r="AU65" s="23">
        <v>9.2599999999999991E-3</v>
      </c>
      <c r="AV65" s="23">
        <v>9.6299999999999997E-3</v>
      </c>
      <c r="AW65" s="23">
        <v>1.0030000000000001E-2</v>
      </c>
      <c r="AX65" s="23">
        <v>1.048E-2</v>
      </c>
      <c r="AY65" s="23">
        <v>1.0970000000000001E-2</v>
      </c>
      <c r="AZ65" s="23">
        <v>1.1509999999999999E-2</v>
      </c>
      <c r="BA65" s="23">
        <v>1.21E-2</v>
      </c>
      <c r="BB65" s="23">
        <v>1.2749999999999999E-2</v>
      </c>
      <c r="BC65" s="23">
        <v>1.3469999999999999E-2</v>
      </c>
      <c r="BD65" s="23">
        <v>1.427E-2</v>
      </c>
      <c r="BE65" s="23">
        <v>1.512E-2</v>
      </c>
      <c r="BF65" s="23">
        <v>1.6070000000000001E-2</v>
      </c>
      <c r="BG65" s="23">
        <v>1.712E-2</v>
      </c>
      <c r="BH65" s="23">
        <v>1.8259999999999998E-2</v>
      </c>
      <c r="BI65" s="23">
        <v>1.9529999999999999E-2</v>
      </c>
      <c r="BJ65" s="23">
        <v>2.0910000000000002E-2</v>
      </c>
      <c r="BK65" s="23">
        <v>2.2440000000000002E-2</v>
      </c>
      <c r="BL65" s="23">
        <v>2.4109999999999999E-2</v>
      </c>
      <c r="BM65" s="23">
        <v>2.5940000000000001E-2</v>
      </c>
      <c r="BN65" s="23">
        <v>2.7959999999999999E-2</v>
      </c>
      <c r="BO65" s="23">
        <v>3.0169999999999999E-2</v>
      </c>
      <c r="BP65" s="23">
        <v>3.2599999999999997E-2</v>
      </c>
      <c r="BQ65" s="23">
        <v>3.5270000000000003E-2</v>
      </c>
      <c r="BR65" s="23">
        <v>3.8190000000000002E-2</v>
      </c>
      <c r="BS65" s="23">
        <v>4.1399999999999999E-2</v>
      </c>
      <c r="BT65" s="23">
        <v>4.4909999999999999E-2</v>
      </c>
      <c r="BU65" s="23">
        <v>4.8759999999999998E-2</v>
      </c>
      <c r="BV65" s="23">
        <v>5.2979999999999999E-2</v>
      </c>
      <c r="BW65" s="23">
        <v>5.7599999999999998E-2</v>
      </c>
      <c r="BX65" s="23">
        <v>6.2659999999999993E-2</v>
      </c>
      <c r="BY65" s="23">
        <v>6.8190000000000001E-2</v>
      </c>
      <c r="BZ65" s="23">
        <v>7.424E-2</v>
      </c>
      <c r="CA65" s="23">
        <v>8.0850000000000005E-2</v>
      </c>
      <c r="CB65" s="23">
        <v>8.8059999999999999E-2</v>
      </c>
      <c r="CC65" s="23">
        <v>9.5930000000000001E-2</v>
      </c>
      <c r="CD65" s="23">
        <v>0.10452</v>
      </c>
      <c r="CE65" s="23">
        <v>0.11386</v>
      </c>
      <c r="CF65" s="23">
        <v>0.12403</v>
      </c>
      <c r="CG65" s="23">
        <v>0.13508000000000001</v>
      </c>
      <c r="CH65" s="23">
        <v>0.14707999999999999</v>
      </c>
      <c r="CI65" s="23">
        <v>0.16009000000000001</v>
      </c>
      <c r="CJ65" s="23">
        <v>0.17416999999999999</v>
      </c>
      <c r="CK65" s="23">
        <v>0.18939</v>
      </c>
      <c r="CL65" s="23">
        <v>0.20580999999999999</v>
      </c>
      <c r="CM65" s="23">
        <v>0.22348000000000001</v>
      </c>
      <c r="CN65" s="23">
        <v>0.24248</v>
      </c>
      <c r="CO65" s="23">
        <v>0.26283000000000001</v>
      </c>
      <c r="CP65" s="23">
        <v>0.28460000000000002</v>
      </c>
      <c r="CQ65" s="23">
        <v>0.30780000000000002</v>
      </c>
      <c r="CR65" s="23">
        <v>0.33245999999999998</v>
      </c>
      <c r="CS65" s="23">
        <v>0.35857</v>
      </c>
      <c r="CT65" s="23">
        <v>0.38612000000000002</v>
      </c>
      <c r="CU65" s="23">
        <v>0.41505999999999998</v>
      </c>
      <c r="CV65" s="23">
        <v>0.44531999999999999</v>
      </c>
      <c r="CW65" s="23">
        <v>0.47681000000000001</v>
      </c>
      <c r="CX65" s="23">
        <v>0.50939000000000001</v>
      </c>
      <c r="CY65" s="23">
        <v>0.54288999999999998</v>
      </c>
      <c r="CZ65" s="23">
        <v>0.57711000000000001</v>
      </c>
      <c r="DA65" s="23">
        <v>0.61180999999999996</v>
      </c>
      <c r="DB65" s="23">
        <v>0.64670000000000005</v>
      </c>
      <c r="DC65" s="23">
        <v>0.68147000000000002</v>
      </c>
      <c r="DD65" s="23">
        <v>0.71577999999999997</v>
      </c>
      <c r="DE65" s="23">
        <v>0.74926999999999999</v>
      </c>
      <c r="DF65" s="23"/>
      <c r="DG65" s="23"/>
      <c r="DH65" s="23"/>
      <c r="DI65" s="23"/>
      <c r="DJ65" s="23"/>
      <c r="DK65" s="23"/>
      <c r="DL65" s="24"/>
      <c r="DM65" s="24"/>
      <c r="DN65" s="23"/>
      <c r="DO65" s="23"/>
      <c r="DP65" s="23"/>
      <c r="DQ65" s="23"/>
      <c r="DR65" s="23"/>
      <c r="DS65" s="23"/>
      <c r="DT65" s="23"/>
      <c r="DU65" s="23"/>
      <c r="DV65" s="23"/>
      <c r="DW65" s="23"/>
      <c r="DX65" s="23"/>
      <c r="DY65" s="23"/>
      <c r="DZ65" s="23"/>
    </row>
    <row r="66" spans="1:130">
      <c r="A66" s="2" t="s">
        <v>204</v>
      </c>
      <c r="B66" s="4" t="s">
        <v>132</v>
      </c>
      <c r="C66" s="2" t="s">
        <v>0</v>
      </c>
      <c r="D66" s="11"/>
      <c r="E66" s="11">
        <v>5.71E-4</v>
      </c>
      <c r="F66" s="11">
        <v>3.7199999999999999E-4</v>
      </c>
      <c r="G66" s="11">
        <v>2.7799999999999998E-4</v>
      </c>
      <c r="H66" s="11">
        <v>2.0799999999999999E-4</v>
      </c>
      <c r="I66" s="11">
        <v>1.8799999999999999E-4</v>
      </c>
      <c r="J66" s="11">
        <v>1.76E-4</v>
      </c>
      <c r="K66" s="11">
        <v>1.65E-4</v>
      </c>
      <c r="L66" s="11">
        <v>1.47E-4</v>
      </c>
      <c r="M66" s="11">
        <v>1.3999999999999999E-4</v>
      </c>
      <c r="N66" s="11">
        <v>1.4100000000000001E-4</v>
      </c>
      <c r="O66" s="11">
        <v>1.4300000000000001E-4</v>
      </c>
      <c r="P66" s="11">
        <v>1.4799999999999999E-4</v>
      </c>
      <c r="Q66" s="11">
        <v>1.55E-4</v>
      </c>
      <c r="R66" s="11">
        <v>1.6200000000000001E-4</v>
      </c>
      <c r="S66" s="11">
        <v>1.7000000000000001E-4</v>
      </c>
      <c r="T66" s="11">
        <v>1.7699999999999999E-4</v>
      </c>
      <c r="U66" s="11">
        <v>1.84E-4</v>
      </c>
      <c r="V66" s="11">
        <v>1.8799999999999999E-4</v>
      </c>
      <c r="W66" s="11">
        <v>1.9000000000000001E-4</v>
      </c>
      <c r="X66" s="11">
        <v>1.9100000000000001E-4</v>
      </c>
      <c r="Y66" s="11">
        <v>1.92E-4</v>
      </c>
      <c r="Z66" s="11">
        <v>1.94E-4</v>
      </c>
      <c r="AA66" s="11">
        <v>1.9699999999999999E-4</v>
      </c>
      <c r="AB66" s="11">
        <v>2.0100000000000001E-4</v>
      </c>
      <c r="AC66" s="11">
        <v>2.0699999999999999E-4</v>
      </c>
      <c r="AD66" s="11">
        <v>2.14E-4</v>
      </c>
      <c r="AE66" s="11">
        <v>2.23E-4</v>
      </c>
      <c r="AF66" s="11">
        <v>2.3499999999999999E-4</v>
      </c>
      <c r="AG66" s="11">
        <v>2.4800000000000001E-4</v>
      </c>
      <c r="AH66" s="11">
        <v>2.6400000000000002E-4</v>
      </c>
      <c r="AI66" s="11">
        <v>3.0699999999999998E-4</v>
      </c>
      <c r="AJ66" s="11">
        <v>3.5E-4</v>
      </c>
      <c r="AK66" s="11">
        <v>3.9399999999999998E-4</v>
      </c>
      <c r="AL66" s="11">
        <v>4.35E-4</v>
      </c>
      <c r="AM66" s="11">
        <v>4.75E-4</v>
      </c>
      <c r="AN66" s="11">
        <v>5.1400000000000003E-4</v>
      </c>
      <c r="AO66" s="11">
        <v>5.5400000000000002E-4</v>
      </c>
      <c r="AP66" s="11">
        <v>5.9800000000000001E-4</v>
      </c>
      <c r="AQ66" s="11">
        <v>6.4800000000000003E-4</v>
      </c>
      <c r="AR66" s="11">
        <v>7.0600000000000003E-4</v>
      </c>
      <c r="AS66" s="11">
        <v>7.7399999999999995E-4</v>
      </c>
      <c r="AT66" s="11">
        <v>8.52E-4</v>
      </c>
      <c r="AU66" s="11">
        <v>9.3700000000000001E-4</v>
      </c>
      <c r="AV66" s="11">
        <v>1.029E-3</v>
      </c>
      <c r="AW66" s="11">
        <v>1.124E-3</v>
      </c>
      <c r="AX66" s="11">
        <v>1.2229999999999999E-3</v>
      </c>
      <c r="AY66" s="11">
        <v>1.3259999999999999E-3</v>
      </c>
      <c r="AZ66" s="11">
        <v>1.4339999999999999E-3</v>
      </c>
      <c r="BA66" s="11">
        <v>1.5499999999999999E-3</v>
      </c>
      <c r="BB66" s="11">
        <v>1.676E-3</v>
      </c>
      <c r="BC66" s="11">
        <v>1.8519999999999999E-3</v>
      </c>
      <c r="BD66" s="11">
        <v>2.0179999999999998E-3</v>
      </c>
      <c r="BE66" s="11">
        <v>2.2070000000000002E-3</v>
      </c>
      <c r="BF66" s="11">
        <v>2.4239999999999999E-3</v>
      </c>
      <c r="BG66" s="11">
        <v>2.7169999999999998E-3</v>
      </c>
      <c r="BH66" s="11">
        <v>3.0899999999999999E-3</v>
      </c>
      <c r="BI66" s="11">
        <v>3.4780000000000002E-3</v>
      </c>
      <c r="BJ66" s="11">
        <v>3.9230000000000003E-3</v>
      </c>
      <c r="BK66" s="11">
        <v>4.4409999999999996E-3</v>
      </c>
      <c r="BL66" s="11">
        <v>5.0549999999999996E-3</v>
      </c>
      <c r="BM66" s="11">
        <v>5.8139999999999997E-3</v>
      </c>
      <c r="BN66" s="11">
        <v>6.6569999999999997E-3</v>
      </c>
      <c r="BO66" s="11">
        <v>7.6480000000000003E-3</v>
      </c>
      <c r="BP66" s="11">
        <v>8.6189999999999999E-3</v>
      </c>
      <c r="BQ66" s="11">
        <v>9.7059999999999994E-3</v>
      </c>
      <c r="BR66" s="11">
        <v>1.0954E-2</v>
      </c>
      <c r="BS66" s="11">
        <v>1.2163E-2</v>
      </c>
      <c r="BT66" s="11">
        <v>1.3445E-2</v>
      </c>
      <c r="BU66" s="11">
        <v>1.486E-2</v>
      </c>
      <c r="BV66" s="11">
        <v>1.6742E-2</v>
      </c>
      <c r="BW66" s="11">
        <v>1.8578999999999998E-2</v>
      </c>
      <c r="BX66" s="11">
        <v>2.0664999999999999E-2</v>
      </c>
      <c r="BY66" s="11">
        <v>2.2970000000000001E-2</v>
      </c>
      <c r="BZ66" s="11">
        <v>2.5458000000000001E-2</v>
      </c>
      <c r="CA66" s="11">
        <v>2.8105999999999999E-2</v>
      </c>
      <c r="CB66" s="11">
        <v>3.0966E-2</v>
      </c>
      <c r="CC66" s="11">
        <v>3.4105000000000003E-2</v>
      </c>
      <c r="CD66" s="11">
        <v>3.7595000000000003E-2</v>
      </c>
      <c r="CE66" s="11">
        <v>4.1506000000000001E-2</v>
      </c>
      <c r="CF66" s="11">
        <v>4.5879000000000003E-2</v>
      </c>
      <c r="CG66" s="11">
        <v>5.0779999999999999E-2</v>
      </c>
      <c r="CH66" s="11">
        <v>5.6293999999999997E-2</v>
      </c>
      <c r="CI66" s="11">
        <v>6.2506000000000006E-2</v>
      </c>
      <c r="CJ66" s="11">
        <v>6.9516999999999995E-2</v>
      </c>
      <c r="CK66" s="11">
        <v>7.7446000000000001E-2</v>
      </c>
      <c r="CL66" s="11">
        <v>8.6375999999999994E-2</v>
      </c>
      <c r="CM66" s="11">
        <v>9.6337000000000006E-2</v>
      </c>
      <c r="CN66" s="11">
        <v>0.107303</v>
      </c>
      <c r="CO66" s="11">
        <v>0.119154</v>
      </c>
      <c r="CP66" s="11">
        <v>0.13168199999999999</v>
      </c>
      <c r="CQ66" s="11">
        <v>0.14460400000000001</v>
      </c>
      <c r="CR66" s="11">
        <v>0.15761800000000001</v>
      </c>
      <c r="CS66" s="11">
        <v>0.170433</v>
      </c>
      <c r="CT66" s="11">
        <v>0.18279899999999999</v>
      </c>
      <c r="CU66" s="11">
        <v>0.19450899999999999</v>
      </c>
      <c r="CV66" s="11">
        <v>0.20537900000000001</v>
      </c>
      <c r="CW66" s="11">
        <v>0.21523999999999999</v>
      </c>
      <c r="CX66" s="11">
        <v>0.22394700000000001</v>
      </c>
      <c r="CY66" s="11">
        <v>0.23138700000000001</v>
      </c>
      <c r="CZ66" s="11">
        <v>0.23746700000000001</v>
      </c>
      <c r="DA66" s="11">
        <v>0.244834</v>
      </c>
      <c r="DB66" s="11">
        <v>0.254498</v>
      </c>
      <c r="DC66" s="11">
        <v>0.266044</v>
      </c>
      <c r="DD66" s="11">
        <v>0.279055</v>
      </c>
      <c r="DE66" s="11">
        <v>0.29311599999999999</v>
      </c>
      <c r="DF66" s="11">
        <v>0.307811</v>
      </c>
      <c r="DG66" s="11">
        <v>0.32272499999999998</v>
      </c>
      <c r="DH66" s="11">
        <v>0.33744099999999999</v>
      </c>
      <c r="DI66" s="11">
        <v>0.35154400000000002</v>
      </c>
      <c r="DJ66" s="11">
        <v>0.36461700000000002</v>
      </c>
      <c r="DK66" s="11">
        <v>0.37624600000000002</v>
      </c>
      <c r="DL66" s="11">
        <v>0.386015</v>
      </c>
      <c r="DM66" s="11">
        <v>0.393507</v>
      </c>
      <c r="DN66" s="11">
        <v>0.398308</v>
      </c>
      <c r="DO66" s="11">
        <v>0.4</v>
      </c>
      <c r="DP66" s="11">
        <v>0.4</v>
      </c>
      <c r="DQ66" s="11">
        <v>0.4</v>
      </c>
      <c r="DR66" s="11">
        <v>0.4</v>
      </c>
      <c r="DS66" s="11">
        <v>0.4</v>
      </c>
      <c r="DT66" s="11">
        <v>1</v>
      </c>
      <c r="DU66" s="11"/>
      <c r="DV66" s="11"/>
      <c r="DW66" s="11"/>
      <c r="DX66" s="11"/>
      <c r="DY66" s="11"/>
      <c r="DZ66" s="11"/>
    </row>
    <row r="67" spans="1:130">
      <c r="A67" s="17" t="s">
        <v>204</v>
      </c>
      <c r="B67" s="16" t="s">
        <v>133</v>
      </c>
      <c r="C67" s="17"/>
      <c r="D67" s="18"/>
      <c r="E67" s="18">
        <v>6.0400000000000004E-4</v>
      </c>
      <c r="F67" s="18">
        <v>4.0099999999999999E-4</v>
      </c>
      <c r="G67" s="18">
        <v>3.1799999999999998E-4</v>
      </c>
      <c r="H67" s="18">
        <v>2.43E-4</v>
      </c>
      <c r="I67" s="18">
        <v>2.22E-4</v>
      </c>
      <c r="J67" s="18">
        <v>2.1000000000000001E-4</v>
      </c>
      <c r="K67" s="18">
        <v>2.0000000000000001E-4</v>
      </c>
      <c r="L67" s="18">
        <v>1.8200000000000001E-4</v>
      </c>
      <c r="M67" s="18">
        <v>1.75E-4</v>
      </c>
      <c r="N67" s="18">
        <v>1.7699999999999999E-4</v>
      </c>
      <c r="O67" s="18">
        <v>1.8100000000000001E-4</v>
      </c>
      <c r="P67" s="18">
        <v>1.8799999999999999E-4</v>
      </c>
      <c r="Q67" s="18">
        <v>1.9799999999999999E-4</v>
      </c>
      <c r="R67" s="18">
        <v>2.0799999999999999E-4</v>
      </c>
      <c r="S67" s="18">
        <v>2.2000000000000001E-4</v>
      </c>
      <c r="T67" s="18">
        <v>2.31E-4</v>
      </c>
      <c r="U67" s="18">
        <v>2.43E-4</v>
      </c>
      <c r="V67" s="18">
        <v>2.52E-4</v>
      </c>
      <c r="W67" s="18">
        <v>2.61E-4</v>
      </c>
      <c r="X67" s="18">
        <v>2.6800000000000001E-4</v>
      </c>
      <c r="Y67" s="18">
        <v>2.7500000000000002E-4</v>
      </c>
      <c r="Z67" s="18">
        <v>2.7999999999999998E-4</v>
      </c>
      <c r="AA67" s="18">
        <v>2.8499999999999999E-4</v>
      </c>
      <c r="AB67" s="18">
        <v>2.8899999999999998E-4</v>
      </c>
      <c r="AC67" s="18">
        <v>2.92E-4</v>
      </c>
      <c r="AD67" s="18">
        <v>2.9599999999999998E-4</v>
      </c>
      <c r="AE67" s="18">
        <v>3.0299999999999999E-4</v>
      </c>
      <c r="AF67" s="18">
        <v>3.1399999999999999E-4</v>
      </c>
      <c r="AG67" s="18">
        <v>3.3E-4</v>
      </c>
      <c r="AH67" s="18">
        <v>3.5399999999999999E-4</v>
      </c>
      <c r="AI67" s="18">
        <v>4.0299999999999998E-4</v>
      </c>
      <c r="AJ67" s="18">
        <v>4.5600000000000003E-4</v>
      </c>
      <c r="AK67" s="18">
        <v>5.13E-4</v>
      </c>
      <c r="AL67" s="18">
        <v>5.6899999999999995E-4</v>
      </c>
      <c r="AM67" s="18">
        <v>6.2399999999999999E-4</v>
      </c>
      <c r="AN67" s="18">
        <v>6.78E-4</v>
      </c>
      <c r="AO67" s="18">
        <v>7.2900000000000005E-4</v>
      </c>
      <c r="AP67" s="18">
        <v>7.8100000000000001E-4</v>
      </c>
      <c r="AQ67" s="18">
        <v>8.3500000000000002E-4</v>
      </c>
      <c r="AR67" s="18">
        <v>8.9300000000000002E-4</v>
      </c>
      <c r="AS67" s="18">
        <v>9.5799999999999998E-4</v>
      </c>
      <c r="AT67" s="18">
        <v>1.034E-3</v>
      </c>
      <c r="AU67" s="18">
        <v>1.1180000000000001E-3</v>
      </c>
      <c r="AV67" s="18">
        <v>1.2130000000000001E-3</v>
      </c>
      <c r="AW67" s="18">
        <v>1.3159999999999999E-3</v>
      </c>
      <c r="AX67" s="18">
        <v>1.42E-3</v>
      </c>
      <c r="AY67" s="18">
        <v>1.5299999999999999E-3</v>
      </c>
      <c r="AZ67" s="18">
        <v>1.647E-3</v>
      </c>
      <c r="BA67" s="18">
        <v>1.7730000000000001E-3</v>
      </c>
      <c r="BB67" s="18">
        <v>1.9070000000000001E-3</v>
      </c>
      <c r="BC67" s="18">
        <v>2.1510000000000001E-3</v>
      </c>
      <c r="BD67" s="18">
        <v>2.343E-3</v>
      </c>
      <c r="BE67" s="18">
        <v>2.562E-3</v>
      </c>
      <c r="BF67" s="18">
        <v>2.81E-3</v>
      </c>
      <c r="BG67" s="18">
        <v>3.1710000000000002E-3</v>
      </c>
      <c r="BH67" s="18">
        <v>3.6449999999999998E-3</v>
      </c>
      <c r="BI67" s="18">
        <v>4.0860000000000002E-3</v>
      </c>
      <c r="BJ67" s="18">
        <v>4.5979999999999997E-3</v>
      </c>
      <c r="BK67" s="18">
        <v>5.1929999999999997E-3</v>
      </c>
      <c r="BL67" s="18">
        <v>5.901E-3</v>
      </c>
      <c r="BM67" s="18">
        <v>6.7450000000000001E-3</v>
      </c>
      <c r="BN67" s="18">
        <v>7.7070000000000003E-3</v>
      </c>
      <c r="BO67" s="18">
        <v>8.8299999999999993E-3</v>
      </c>
      <c r="BP67" s="18">
        <v>9.9500000000000005E-3</v>
      </c>
      <c r="BQ67" s="18">
        <v>1.1221999999999999E-2</v>
      </c>
      <c r="BR67" s="18">
        <v>1.2682000000000001E-2</v>
      </c>
      <c r="BS67" s="18">
        <v>1.4119E-2</v>
      </c>
      <c r="BT67" s="18">
        <v>1.5657999999999998E-2</v>
      </c>
      <c r="BU67" s="18">
        <v>1.7330999999999999E-2</v>
      </c>
      <c r="BV67" s="18">
        <v>1.9474000000000002E-2</v>
      </c>
      <c r="BW67" s="18">
        <v>2.1575E-2</v>
      </c>
      <c r="BX67" s="18">
        <v>2.3973000000000001E-2</v>
      </c>
      <c r="BY67" s="18">
        <v>2.6679000000000001E-2</v>
      </c>
      <c r="BZ67" s="18">
        <v>2.9679000000000001E-2</v>
      </c>
      <c r="CA67" s="18">
        <v>3.2969999999999999E-2</v>
      </c>
      <c r="CB67" s="18">
        <v>3.6568000000000003E-2</v>
      </c>
      <c r="CC67" s="18">
        <v>4.0506E-2</v>
      </c>
      <c r="CD67" s="18">
        <v>4.4859000000000003E-2</v>
      </c>
      <c r="CE67" s="18">
        <v>4.9716999999999997E-2</v>
      </c>
      <c r="CF67" s="18">
        <v>5.5123999999999999E-2</v>
      </c>
      <c r="CG67" s="18">
        <v>6.1411E-2</v>
      </c>
      <c r="CH67" s="18">
        <v>6.8390000000000006E-2</v>
      </c>
      <c r="CI67" s="18">
        <v>7.6111999999999999E-2</v>
      </c>
      <c r="CJ67" s="18">
        <v>8.4648000000000001E-2</v>
      </c>
      <c r="CK67" s="18">
        <v>9.4102000000000005E-2</v>
      </c>
      <c r="CL67" s="18">
        <v>0.104587</v>
      </c>
      <c r="CM67" s="18">
        <v>0.11619</v>
      </c>
      <c r="CN67" s="18">
        <v>0.12894700000000001</v>
      </c>
      <c r="CO67" s="18">
        <v>0.142787</v>
      </c>
      <c r="CP67" s="18">
        <v>0.15754499999999999</v>
      </c>
      <c r="CQ67" s="18">
        <v>0.17218700000000001</v>
      </c>
      <c r="CR67" s="18">
        <v>0.187112</v>
      </c>
      <c r="CS67" s="18">
        <v>0.20204800000000001</v>
      </c>
      <c r="CT67" s="18">
        <v>0.21674599999999999</v>
      </c>
      <c r="CU67" s="18">
        <v>0.23100000000000001</v>
      </c>
      <c r="CV67" s="18">
        <v>0.244642</v>
      </c>
      <c r="CW67" s="18">
        <v>0.257546</v>
      </c>
      <c r="CX67" s="18">
        <v>0.26962199999999997</v>
      </c>
      <c r="CY67" s="18">
        <v>0.28079700000000002</v>
      </c>
      <c r="CZ67" s="18">
        <v>0.29101199999999999</v>
      </c>
      <c r="DA67" s="18">
        <v>0.30173100000000003</v>
      </c>
      <c r="DB67" s="18">
        <v>0.31309199999999998</v>
      </c>
      <c r="DC67" s="18">
        <v>0.324542</v>
      </c>
      <c r="DD67" s="18">
        <v>0.33552900000000002</v>
      </c>
      <c r="DE67" s="18">
        <v>0.345501</v>
      </c>
      <c r="DF67" s="18">
        <v>0.353906</v>
      </c>
      <c r="DG67" s="18">
        <v>0.36136299999999999</v>
      </c>
      <c r="DH67" s="18">
        <v>0.36872100000000002</v>
      </c>
      <c r="DI67" s="18">
        <v>0.37577199999999999</v>
      </c>
      <c r="DJ67" s="18">
        <v>0.38230900000000001</v>
      </c>
      <c r="DK67" s="18">
        <v>0.388123</v>
      </c>
      <c r="DL67" s="18">
        <v>0.39300800000000002</v>
      </c>
      <c r="DM67" s="18">
        <v>0.396754</v>
      </c>
      <c r="DN67" s="18">
        <v>0.39915400000000001</v>
      </c>
      <c r="DO67" s="18">
        <v>0.4</v>
      </c>
      <c r="DP67" s="18">
        <v>0.4</v>
      </c>
      <c r="DQ67" s="18">
        <v>0.4</v>
      </c>
      <c r="DR67" s="18">
        <v>0.4</v>
      </c>
      <c r="DS67" s="18">
        <v>0.4</v>
      </c>
      <c r="DT67" s="18">
        <v>1</v>
      </c>
      <c r="DU67" s="18"/>
      <c r="DV67" s="18"/>
      <c r="DW67" s="18"/>
      <c r="DX67" s="18"/>
      <c r="DY67" s="18"/>
      <c r="DZ67" s="18"/>
    </row>
    <row r="68" spans="1:130">
      <c r="A68" s="2" t="s">
        <v>204</v>
      </c>
      <c r="B68" s="4" t="s">
        <v>210</v>
      </c>
      <c r="C68" s="2" t="s">
        <v>0</v>
      </c>
      <c r="D68" s="11"/>
      <c r="E68" s="11">
        <v>6.3699999999999998E-4</v>
      </c>
      <c r="F68" s="11">
        <v>4.2999999999999999E-4</v>
      </c>
      <c r="G68" s="11">
        <v>3.57E-4</v>
      </c>
      <c r="H68" s="11">
        <v>2.7799999999999998E-4</v>
      </c>
      <c r="I68" s="11">
        <v>2.5500000000000002E-4</v>
      </c>
      <c r="J68" s="11">
        <v>2.4399999999999999E-4</v>
      </c>
      <c r="K68" s="11">
        <v>2.34E-4</v>
      </c>
      <c r="L68" s="11">
        <v>2.1599999999999999E-4</v>
      </c>
      <c r="M68" s="11">
        <v>2.0900000000000001E-4</v>
      </c>
      <c r="N68" s="11">
        <v>2.12E-4</v>
      </c>
      <c r="O68" s="11">
        <v>2.1900000000000001E-4</v>
      </c>
      <c r="P68" s="11">
        <v>2.2800000000000001E-4</v>
      </c>
      <c r="Q68" s="11">
        <v>2.4000000000000001E-4</v>
      </c>
      <c r="R68" s="11">
        <v>2.5399999999999999E-4</v>
      </c>
      <c r="S68" s="11">
        <v>2.6899999999999998E-4</v>
      </c>
      <c r="T68" s="11">
        <v>2.8400000000000002E-4</v>
      </c>
      <c r="U68" s="11">
        <v>3.01E-4</v>
      </c>
      <c r="V68" s="11">
        <v>3.1599999999999998E-4</v>
      </c>
      <c r="W68" s="11">
        <v>3.3100000000000002E-4</v>
      </c>
      <c r="X68" s="11">
        <v>3.4499999999999998E-4</v>
      </c>
      <c r="Y68" s="11">
        <v>3.57E-4</v>
      </c>
      <c r="Z68" s="11">
        <v>3.6600000000000001E-4</v>
      </c>
      <c r="AA68" s="11">
        <v>3.7300000000000001E-4</v>
      </c>
      <c r="AB68" s="11">
        <v>3.7599999999999998E-4</v>
      </c>
      <c r="AC68" s="11">
        <v>3.7599999999999998E-4</v>
      </c>
      <c r="AD68" s="11">
        <v>3.7800000000000003E-4</v>
      </c>
      <c r="AE68" s="11">
        <v>3.8200000000000002E-4</v>
      </c>
      <c r="AF68" s="11">
        <v>3.9300000000000001E-4</v>
      </c>
      <c r="AG68" s="11">
        <v>4.1199999999999999E-4</v>
      </c>
      <c r="AH68" s="11">
        <v>4.44E-4</v>
      </c>
      <c r="AI68" s="11">
        <v>4.9899999999999999E-4</v>
      </c>
      <c r="AJ68" s="11">
        <v>5.62E-4</v>
      </c>
      <c r="AK68" s="11">
        <v>6.3100000000000005E-4</v>
      </c>
      <c r="AL68" s="11">
        <v>7.0200000000000004E-4</v>
      </c>
      <c r="AM68" s="11">
        <v>7.7300000000000003E-4</v>
      </c>
      <c r="AN68" s="11">
        <v>8.4099999999999995E-4</v>
      </c>
      <c r="AO68" s="11">
        <v>9.0399999999999996E-4</v>
      </c>
      <c r="AP68" s="11">
        <v>9.6400000000000001E-4</v>
      </c>
      <c r="AQ68" s="11">
        <v>1.021E-3</v>
      </c>
      <c r="AR68" s="11">
        <v>1.0790000000000001E-3</v>
      </c>
      <c r="AS68" s="11">
        <v>1.142E-3</v>
      </c>
      <c r="AT68" s="11">
        <v>1.2149999999999999E-3</v>
      </c>
      <c r="AU68" s="11">
        <v>1.299E-3</v>
      </c>
      <c r="AV68" s="11">
        <v>1.397E-3</v>
      </c>
      <c r="AW68" s="11">
        <v>1.508E-3</v>
      </c>
      <c r="AX68" s="11">
        <v>1.616E-3</v>
      </c>
      <c r="AY68" s="11">
        <v>1.7340000000000001E-3</v>
      </c>
      <c r="AZ68" s="11">
        <v>1.8600000000000001E-3</v>
      </c>
      <c r="BA68" s="11">
        <v>1.9949999999999998E-3</v>
      </c>
      <c r="BB68" s="11">
        <v>2.1380000000000001E-3</v>
      </c>
      <c r="BC68" s="11">
        <v>2.4489999999999998E-3</v>
      </c>
      <c r="BD68" s="11">
        <v>2.6670000000000001E-3</v>
      </c>
      <c r="BE68" s="11">
        <v>2.9160000000000002E-3</v>
      </c>
      <c r="BF68" s="11">
        <v>3.1960000000000001E-3</v>
      </c>
      <c r="BG68" s="11">
        <v>3.6240000000000001E-3</v>
      </c>
      <c r="BH68" s="11">
        <v>4.1999999999999997E-3</v>
      </c>
      <c r="BI68" s="11">
        <v>4.6930000000000001E-3</v>
      </c>
      <c r="BJ68" s="11">
        <v>5.2729999999999999E-3</v>
      </c>
      <c r="BK68" s="11">
        <v>5.9449999999999998E-3</v>
      </c>
      <c r="BL68" s="11">
        <v>6.7470000000000004E-3</v>
      </c>
      <c r="BM68" s="11">
        <v>7.6759999999999997E-3</v>
      </c>
      <c r="BN68" s="11">
        <v>8.7569999999999992E-3</v>
      </c>
      <c r="BO68" s="11">
        <v>1.0012E-2</v>
      </c>
      <c r="BP68" s="11">
        <v>1.128E-2</v>
      </c>
      <c r="BQ68" s="11">
        <v>1.2737E-2</v>
      </c>
      <c r="BR68" s="11">
        <v>1.4409E-2</v>
      </c>
      <c r="BS68" s="11">
        <v>1.6074999999999999E-2</v>
      </c>
      <c r="BT68" s="11">
        <v>1.7871000000000001E-2</v>
      </c>
      <c r="BU68" s="11">
        <v>1.9802E-2</v>
      </c>
      <c r="BV68" s="11">
        <v>2.2206E-2</v>
      </c>
      <c r="BW68" s="11">
        <v>2.4570000000000002E-2</v>
      </c>
      <c r="BX68" s="11">
        <v>2.7281E-2</v>
      </c>
      <c r="BY68" s="11">
        <v>3.0387000000000001E-2</v>
      </c>
      <c r="BZ68" s="11">
        <v>3.39E-2</v>
      </c>
      <c r="CA68" s="11">
        <v>3.7834E-2</v>
      </c>
      <c r="CB68" s="11">
        <v>4.2168999999999998E-2</v>
      </c>
      <c r="CC68" s="11">
        <v>4.6906000000000003E-2</v>
      </c>
      <c r="CD68" s="11">
        <v>5.2123000000000003E-2</v>
      </c>
      <c r="CE68" s="11">
        <v>5.7926999999999999E-2</v>
      </c>
      <c r="CF68" s="11">
        <v>6.4367999999999995E-2</v>
      </c>
      <c r="CG68" s="11">
        <v>7.2040999999999994E-2</v>
      </c>
      <c r="CH68" s="11">
        <v>8.0486000000000002E-2</v>
      </c>
      <c r="CI68" s="11">
        <v>8.9718000000000006E-2</v>
      </c>
      <c r="CJ68" s="11">
        <v>9.9779000000000007E-2</v>
      </c>
      <c r="CK68" s="11">
        <v>0.11075699999999999</v>
      </c>
      <c r="CL68" s="11">
        <v>0.122797</v>
      </c>
      <c r="CM68" s="11">
        <v>0.136043</v>
      </c>
      <c r="CN68" s="11">
        <v>0.15059</v>
      </c>
      <c r="CO68" s="11">
        <v>0.16642000000000001</v>
      </c>
      <c r="CP68" s="11">
        <v>0.18340799999999999</v>
      </c>
      <c r="CQ68" s="11">
        <v>0.199769</v>
      </c>
      <c r="CR68" s="11">
        <v>0.21660499999999999</v>
      </c>
      <c r="CS68" s="11">
        <v>0.23366200000000001</v>
      </c>
      <c r="CT68" s="11">
        <v>0.250693</v>
      </c>
      <c r="CU68" s="11">
        <v>0.26749099999999998</v>
      </c>
      <c r="CV68" s="11">
        <v>0.28390500000000002</v>
      </c>
      <c r="CW68" s="11">
        <v>0.29985200000000001</v>
      </c>
      <c r="CX68" s="11">
        <v>0.31529600000000002</v>
      </c>
      <c r="CY68" s="11">
        <v>0.33020699999999997</v>
      </c>
      <c r="CZ68" s="11">
        <v>0.34455599999999997</v>
      </c>
      <c r="DA68" s="11">
        <v>0.358628</v>
      </c>
      <c r="DB68" s="11">
        <v>0.37168499999999999</v>
      </c>
      <c r="DC68" s="11">
        <v>0.38303999999999999</v>
      </c>
      <c r="DD68" s="11">
        <v>0.39200299999999999</v>
      </c>
      <c r="DE68" s="11">
        <v>0.39788600000000002</v>
      </c>
      <c r="DF68" s="11">
        <v>0.4</v>
      </c>
      <c r="DG68" s="11">
        <v>0.4</v>
      </c>
      <c r="DH68" s="11">
        <v>0.4</v>
      </c>
      <c r="DI68" s="11">
        <v>0.4</v>
      </c>
      <c r="DJ68" s="11">
        <v>0.4</v>
      </c>
      <c r="DK68" s="11">
        <v>0.4</v>
      </c>
      <c r="DL68" s="11">
        <v>0.4</v>
      </c>
      <c r="DM68" s="11">
        <v>0.4</v>
      </c>
      <c r="DN68" s="11">
        <v>0.4</v>
      </c>
      <c r="DO68" s="11">
        <v>0.4</v>
      </c>
      <c r="DP68" s="11">
        <v>0.4</v>
      </c>
      <c r="DQ68" s="11">
        <v>0.4</v>
      </c>
      <c r="DR68" s="11">
        <v>0.4</v>
      </c>
      <c r="DS68" s="11">
        <v>0.4</v>
      </c>
      <c r="DT68" s="11">
        <v>1</v>
      </c>
      <c r="DU68" s="11"/>
      <c r="DV68" s="11"/>
      <c r="DW68" s="11"/>
      <c r="DX68" s="11"/>
      <c r="DY68" s="11"/>
      <c r="DZ68" s="11"/>
    </row>
    <row r="69" spans="1:130">
      <c r="A69" s="2" t="s">
        <v>204</v>
      </c>
      <c r="B69" s="4" t="s">
        <v>137</v>
      </c>
      <c r="C69" s="2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>
        <v>2.5990000000000002E-3</v>
      </c>
      <c r="S69" s="11">
        <v>2.6359999999999999E-3</v>
      </c>
      <c r="T69" s="11">
        <v>2.6770000000000001E-3</v>
      </c>
      <c r="U69" s="11">
        <v>2.722E-3</v>
      </c>
      <c r="V69" s="11">
        <v>2.771E-3</v>
      </c>
      <c r="W69" s="11">
        <v>2.826E-3</v>
      </c>
      <c r="X69" s="11">
        <v>2.8860000000000001E-3</v>
      </c>
      <c r="Y69" s="11">
        <v>2.9529999999999999E-3</v>
      </c>
      <c r="Z69" s="11">
        <v>3.0270000000000002E-3</v>
      </c>
      <c r="AA69" s="11">
        <v>3.1080000000000001E-3</v>
      </c>
      <c r="AB69" s="11">
        <v>3.1979999999999999E-3</v>
      </c>
      <c r="AC69" s="11">
        <v>3.297E-3</v>
      </c>
      <c r="AD69" s="11">
        <v>3.4069999999999999E-3</v>
      </c>
      <c r="AE69" s="11">
        <v>3.5270000000000002E-3</v>
      </c>
      <c r="AF69" s="11">
        <v>3.6610000000000002E-3</v>
      </c>
      <c r="AG69" s="11">
        <v>3.8080000000000002E-3</v>
      </c>
      <c r="AH69" s="11">
        <v>3.9709999999999997E-3</v>
      </c>
      <c r="AI69" s="11">
        <v>4.1510000000000002E-3</v>
      </c>
      <c r="AJ69" s="11">
        <v>4.3489999999999996E-3</v>
      </c>
      <c r="AK69" s="11">
        <v>4.568E-3</v>
      </c>
      <c r="AL69" s="11">
        <v>4.81E-3</v>
      </c>
      <c r="AM69" s="11">
        <v>5.0769999999999999E-3</v>
      </c>
      <c r="AN69" s="11">
        <v>5.372E-3</v>
      </c>
      <c r="AO69" s="11">
        <v>5.6969999999999998E-3</v>
      </c>
      <c r="AP69" s="11">
        <v>6.0559999999999998E-3</v>
      </c>
      <c r="AQ69" s="11">
        <v>6.4530000000000004E-3</v>
      </c>
      <c r="AR69" s="11">
        <v>6.8910000000000004E-3</v>
      </c>
      <c r="AS69" s="11">
        <v>7.3740000000000003E-3</v>
      </c>
      <c r="AT69" s="11">
        <v>7.9070000000000008E-3</v>
      </c>
      <c r="AU69" s="11">
        <v>8.4960000000000001E-3</v>
      </c>
      <c r="AV69" s="11">
        <v>9.1450000000000004E-3</v>
      </c>
      <c r="AW69" s="11">
        <v>9.8619999999999992E-3</v>
      </c>
      <c r="AX69" s="11">
        <v>1.0652999999999999E-2</v>
      </c>
      <c r="AY69" s="11">
        <v>1.1525000000000001E-2</v>
      </c>
      <c r="AZ69" s="11">
        <v>1.2488000000000001E-2</v>
      </c>
      <c r="BA69" s="11">
        <v>1.355E-2</v>
      </c>
      <c r="BB69" s="11">
        <v>1.4722000000000001E-2</v>
      </c>
      <c r="BC69" s="11">
        <v>1.6014E-2</v>
      </c>
      <c r="BD69" s="11">
        <v>1.7439E-2</v>
      </c>
      <c r="BE69" s="11">
        <v>1.9009999999999999E-2</v>
      </c>
      <c r="BF69" s="11">
        <v>2.0743000000000001E-2</v>
      </c>
      <c r="BG69" s="11">
        <v>2.2651999999999999E-2</v>
      </c>
      <c r="BH69" s="11">
        <v>2.4756E-2</v>
      </c>
      <c r="BI69" s="11">
        <v>2.7074999999999998E-2</v>
      </c>
      <c r="BJ69" s="11">
        <v>2.9628999999999999E-2</v>
      </c>
      <c r="BK69" s="11">
        <v>3.2441999999999999E-2</v>
      </c>
      <c r="BL69" s="11">
        <v>3.5538E-2</v>
      </c>
      <c r="BM69" s="11">
        <v>3.8947000000000002E-2</v>
      </c>
      <c r="BN69" s="11">
        <v>4.2696999999999999E-2</v>
      </c>
      <c r="BO69" s="11">
        <v>4.6822000000000003E-2</v>
      </c>
      <c r="BP69" s="11">
        <v>5.1357E-2</v>
      </c>
      <c r="BQ69" s="11">
        <v>5.6340000000000001E-2</v>
      </c>
      <c r="BR69" s="11">
        <v>6.1814000000000001E-2</v>
      </c>
      <c r="BS69" s="11">
        <v>6.7821999999999993E-2</v>
      </c>
      <c r="BT69" s="11">
        <v>7.4414999999999995E-2</v>
      </c>
      <c r="BU69" s="11">
        <v>8.1642000000000006E-2</v>
      </c>
      <c r="BV69" s="11">
        <v>8.9561000000000002E-2</v>
      </c>
      <c r="BW69" s="11">
        <v>9.8229999999999998E-2</v>
      </c>
      <c r="BX69" s="11">
        <v>0.107713</v>
      </c>
      <c r="BY69" s="11">
        <v>0.118075</v>
      </c>
      <c r="BZ69" s="11">
        <v>0.129387</v>
      </c>
      <c r="CA69" s="11">
        <v>0.14172100000000001</v>
      </c>
      <c r="CB69" s="11">
        <v>0.15515399999999999</v>
      </c>
      <c r="CC69" s="11">
        <v>0.169765</v>
      </c>
      <c r="CD69" s="11">
        <v>0.18563299999999999</v>
      </c>
      <c r="CE69" s="11">
        <v>0.20283899999999999</v>
      </c>
      <c r="CF69" s="11">
        <v>0.22146399999999999</v>
      </c>
      <c r="CG69" s="11">
        <v>0.241589</v>
      </c>
      <c r="CH69" s="11">
        <v>0.26319999999999999</v>
      </c>
      <c r="CI69" s="11">
        <v>0.28664000000000001</v>
      </c>
      <c r="CJ69" s="11">
        <v>0.31170700000000001</v>
      </c>
      <c r="CK69" s="11">
        <v>0.33854899999999999</v>
      </c>
      <c r="CL69" s="11">
        <v>0.36721700000000002</v>
      </c>
      <c r="CM69" s="11">
        <v>0.39774599999999999</v>
      </c>
      <c r="CN69" s="11">
        <v>0.43015999999999999</v>
      </c>
      <c r="CO69" s="11">
        <v>0.46446399999999999</v>
      </c>
      <c r="CP69" s="11">
        <v>0.50064500000000001</v>
      </c>
      <c r="CQ69" s="11">
        <v>0.53866899999999995</v>
      </c>
      <c r="CR69" s="11">
        <v>0.57847899999999997</v>
      </c>
      <c r="CS69" s="11">
        <v>0.61999400000000005</v>
      </c>
      <c r="CT69" s="11">
        <v>0.66310999999999998</v>
      </c>
      <c r="CU69" s="11">
        <v>0.70769700000000002</v>
      </c>
      <c r="CV69" s="11">
        <v>0.75360099999999997</v>
      </c>
      <c r="CW69" s="11">
        <v>0.800647</v>
      </c>
      <c r="CX69" s="11">
        <v>0.848638</v>
      </c>
      <c r="CY69" s="11">
        <v>0.89736099999999996</v>
      </c>
      <c r="CZ69" s="11">
        <v>0.94658900000000001</v>
      </c>
      <c r="DA69" s="11">
        <v>0.99608300000000005</v>
      </c>
      <c r="DB69" s="11">
        <v>1</v>
      </c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</row>
    <row r="70" spans="1:130">
      <c r="A70" s="2" t="s">
        <v>204</v>
      </c>
      <c r="B70" s="4" t="s">
        <v>138</v>
      </c>
      <c r="C70" s="2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>
        <v>1.2949999999999999E-3</v>
      </c>
      <c r="S70" s="11">
        <v>1.488E-3</v>
      </c>
      <c r="T70" s="11">
        <v>1.694E-3</v>
      </c>
      <c r="U70" s="11">
        <v>1.859E-3</v>
      </c>
      <c r="V70" s="11">
        <v>1.918E-3</v>
      </c>
      <c r="W70" s="11">
        <v>1.9250000000000001E-3</v>
      </c>
      <c r="X70" s="11">
        <v>1.9319999999999999E-3</v>
      </c>
      <c r="Y70" s="11">
        <v>1.939E-3</v>
      </c>
      <c r="Z70" s="11">
        <v>1.946E-3</v>
      </c>
      <c r="AA70" s="11">
        <v>1.9480000000000001E-3</v>
      </c>
      <c r="AB70" s="11">
        <v>1.949E-3</v>
      </c>
      <c r="AC70" s="11">
        <v>1.9530000000000001E-3</v>
      </c>
      <c r="AD70" s="11">
        <v>1.9719999999999998E-3</v>
      </c>
      <c r="AE70" s="11">
        <v>1.9780000000000002E-3</v>
      </c>
      <c r="AF70" s="11">
        <v>2.0219999999999999E-3</v>
      </c>
      <c r="AG70" s="11">
        <v>2.0409999999999998E-3</v>
      </c>
      <c r="AH70" s="11">
        <v>2.0990000000000002E-3</v>
      </c>
      <c r="AI70" s="11">
        <v>2.1570000000000001E-3</v>
      </c>
      <c r="AJ70" s="11">
        <v>2.2260000000000001E-3</v>
      </c>
      <c r="AK70" s="11">
        <v>2.333E-3</v>
      </c>
      <c r="AL70" s="11">
        <v>2.4889999999999999E-3</v>
      </c>
      <c r="AM70" s="11">
        <v>2.6619999999999999E-3</v>
      </c>
      <c r="AN70" s="11">
        <v>2.8760000000000001E-3</v>
      </c>
      <c r="AO70" s="11">
        <v>3.1180000000000001E-3</v>
      </c>
      <c r="AP70" s="11">
        <v>3.4169999999999999E-3</v>
      </c>
      <c r="AQ70" s="11">
        <v>3.761E-3</v>
      </c>
      <c r="AR70" s="11">
        <v>4.1339999999999997E-3</v>
      </c>
      <c r="AS70" s="11">
        <v>4.5659999999999997E-3</v>
      </c>
      <c r="AT70" s="11">
        <v>5.0499999999999998E-3</v>
      </c>
      <c r="AU70" s="11">
        <v>5.5649999999999996E-3</v>
      </c>
      <c r="AV70" s="11">
        <v>6.1240000000000001E-3</v>
      </c>
      <c r="AW70" s="11">
        <v>6.7340000000000004E-3</v>
      </c>
      <c r="AX70" s="11">
        <v>7.443E-3</v>
      </c>
      <c r="AY70" s="11">
        <v>8.1460000000000005E-3</v>
      </c>
      <c r="AZ70" s="11">
        <v>8.9510000000000006E-3</v>
      </c>
      <c r="BA70" s="11">
        <v>9.8110000000000003E-3</v>
      </c>
      <c r="BB70" s="11">
        <v>1.0763E-2</v>
      </c>
      <c r="BC70" s="11">
        <v>1.1802999999999999E-2</v>
      </c>
      <c r="BD70" s="11">
        <v>1.2947999999999999E-2</v>
      </c>
      <c r="BE70" s="11">
        <v>1.4194999999999999E-2</v>
      </c>
      <c r="BF70" s="11">
        <v>1.5557E-2</v>
      </c>
      <c r="BG70" s="11">
        <v>1.7024000000000001E-2</v>
      </c>
      <c r="BH70" s="11">
        <v>1.8633E-2</v>
      </c>
      <c r="BI70" s="11">
        <v>2.0358000000000001E-2</v>
      </c>
      <c r="BJ70" s="11">
        <v>2.2172999999999998E-2</v>
      </c>
      <c r="BK70" s="11">
        <v>2.4088999999999999E-2</v>
      </c>
      <c r="BL70" s="11">
        <v>2.6127999999999998E-2</v>
      </c>
      <c r="BM70" s="11">
        <v>2.8402E-2</v>
      </c>
      <c r="BN70" s="11">
        <v>3.0908000000000001E-2</v>
      </c>
      <c r="BO70" s="11">
        <v>3.3640000000000003E-2</v>
      </c>
      <c r="BP70" s="11">
        <v>3.6576999999999998E-2</v>
      </c>
      <c r="BQ70" s="11">
        <v>3.9799000000000001E-2</v>
      </c>
      <c r="BR70" s="11">
        <v>4.3444999999999998E-2</v>
      </c>
      <c r="BS70" s="11">
        <v>4.7490999999999998E-2</v>
      </c>
      <c r="BT70" s="11">
        <v>5.1963000000000002E-2</v>
      </c>
      <c r="BU70" s="11">
        <v>5.6855000000000003E-2</v>
      </c>
      <c r="BV70" s="11">
        <v>6.2084E-2</v>
      </c>
      <c r="BW70" s="11">
        <v>6.8386000000000002E-2</v>
      </c>
      <c r="BX70" s="11">
        <v>7.5048000000000004E-2</v>
      </c>
      <c r="BY70" s="11">
        <v>8.2003000000000006E-2</v>
      </c>
      <c r="BZ70" s="11">
        <v>8.9416999999999996E-2</v>
      </c>
      <c r="CA70" s="11">
        <v>9.7452999999999998E-2</v>
      </c>
      <c r="CB70" s="11">
        <v>0.107087</v>
      </c>
      <c r="CC70" s="11">
        <v>0.117963</v>
      </c>
      <c r="CD70" s="11">
        <v>0.13028300000000001</v>
      </c>
      <c r="CE70" s="11">
        <v>0.14402899999999999</v>
      </c>
      <c r="CF70" s="11">
        <v>0.15904299999999999</v>
      </c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</row>
    <row r="71" spans="1:130">
      <c r="A71" s="2" t="s">
        <v>204</v>
      </c>
      <c r="B71" s="4" t="s">
        <v>139</v>
      </c>
      <c r="C71" s="2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>
        <v>1.374E-3</v>
      </c>
      <c r="S71" s="11">
        <v>1.407E-3</v>
      </c>
      <c r="T71" s="11">
        <v>1.444E-3</v>
      </c>
      <c r="U71" s="11">
        <v>1.485E-3</v>
      </c>
      <c r="V71" s="11">
        <v>1.529E-3</v>
      </c>
      <c r="W71" s="11">
        <v>1.5790000000000001E-3</v>
      </c>
      <c r="X71" s="11">
        <v>1.6329999999999999E-3</v>
      </c>
      <c r="Y71" s="11">
        <v>1.6930000000000001E-3</v>
      </c>
      <c r="Z71" s="11">
        <v>1.758E-3</v>
      </c>
      <c r="AA71" s="11">
        <v>1.8309999999999999E-3</v>
      </c>
      <c r="AB71" s="11">
        <v>1.9109999999999999E-3</v>
      </c>
      <c r="AC71" s="11">
        <v>1.9989999999999999E-3</v>
      </c>
      <c r="AD71" s="11">
        <v>2.0960000000000002E-3</v>
      </c>
      <c r="AE71" s="11">
        <v>2.2039999999999998E-3</v>
      </c>
      <c r="AF71" s="11">
        <v>2.3219999999999998E-3</v>
      </c>
      <c r="AG71" s="11">
        <v>2.4520000000000002E-3</v>
      </c>
      <c r="AH71" s="11">
        <v>2.5950000000000001E-3</v>
      </c>
      <c r="AI71" s="11">
        <v>2.7529999999999998E-3</v>
      </c>
      <c r="AJ71" s="11">
        <v>2.9269999999999999E-3</v>
      </c>
      <c r="AK71" s="11">
        <v>3.1180000000000001E-3</v>
      </c>
      <c r="AL71" s="11">
        <v>3.3300000000000001E-3</v>
      </c>
      <c r="AM71" s="11">
        <v>3.5620000000000001E-3</v>
      </c>
      <c r="AN71" s="11">
        <v>3.8189999999999999E-3</v>
      </c>
      <c r="AO71" s="11">
        <v>4.1009999999999996E-3</v>
      </c>
      <c r="AP71" s="11">
        <v>4.4120000000000001E-3</v>
      </c>
      <c r="AQ71" s="11">
        <v>4.7549999999999997E-3</v>
      </c>
      <c r="AR71" s="11">
        <v>5.1330000000000004E-3</v>
      </c>
      <c r="AS71" s="11">
        <v>5.5490000000000001E-3</v>
      </c>
      <c r="AT71" s="11">
        <v>6.0070000000000002E-3</v>
      </c>
      <c r="AU71" s="11">
        <v>6.5120000000000004E-3</v>
      </c>
      <c r="AV71" s="11">
        <v>7.0679999999999996E-3</v>
      </c>
      <c r="AW71" s="11">
        <v>7.6810000000000003E-3</v>
      </c>
      <c r="AX71" s="11">
        <v>8.3549999999999996E-3</v>
      </c>
      <c r="AY71" s="11">
        <v>9.0980000000000002E-3</v>
      </c>
      <c r="AZ71" s="11">
        <v>9.9159999999999995E-3</v>
      </c>
      <c r="BA71" s="11">
        <v>1.0817E-2</v>
      </c>
      <c r="BB71" s="11">
        <v>1.1809E-2</v>
      </c>
      <c r="BC71" s="11">
        <v>1.2900999999999999E-2</v>
      </c>
      <c r="BD71" s="11">
        <v>1.4201E-2</v>
      </c>
      <c r="BE71" s="11">
        <v>1.5424999999999999E-2</v>
      </c>
      <c r="BF71" s="11">
        <v>1.6881E-2</v>
      </c>
      <c r="BG71" s="11">
        <v>1.8482999999999999E-2</v>
      </c>
      <c r="BH71" s="11">
        <v>2.0246E-2</v>
      </c>
      <c r="BI71" s="11">
        <v>2.2183999999999999E-2</v>
      </c>
      <c r="BJ71" s="11">
        <v>2.4316000000000001E-2</v>
      </c>
      <c r="BK71" s="11">
        <v>2.6661000000000001E-2</v>
      </c>
      <c r="BL71" s="11">
        <v>2.9238E-2</v>
      </c>
      <c r="BM71" s="11">
        <v>3.2071000000000002E-2</v>
      </c>
      <c r="BN71" s="11">
        <v>3.5182999999999999E-2</v>
      </c>
      <c r="BO71" s="11">
        <v>3.8601000000000003E-2</v>
      </c>
      <c r="BP71" s="11">
        <v>4.2354999999999997E-2</v>
      </c>
      <c r="BQ71" s="11">
        <v>4.6475000000000002E-2</v>
      </c>
      <c r="BR71" s="11">
        <v>5.0994999999999999E-2</v>
      </c>
      <c r="BS71" s="11">
        <v>5.5953000000000003E-2</v>
      </c>
      <c r="BT71" s="11">
        <v>6.1386999999999997E-2</v>
      </c>
      <c r="BU71" s="11">
        <v>6.7340999999999998E-2</v>
      </c>
      <c r="BV71" s="11">
        <v>7.3859999999999995E-2</v>
      </c>
      <c r="BW71" s="11">
        <v>8.0993999999999997E-2</v>
      </c>
      <c r="BX71" s="11">
        <v>8.8794999999999999E-2</v>
      </c>
      <c r="BY71" s="11">
        <v>9.7319000000000003E-2</v>
      </c>
      <c r="BZ71" s="11">
        <v>0.106626</v>
      </c>
      <c r="CA71" s="11">
        <v>0.11677700000000001</v>
      </c>
      <c r="CB71" s="11">
        <v>0.12783900000000001</v>
      </c>
      <c r="CC71" s="11">
        <v>0.13988</v>
      </c>
      <c r="CD71" s="11">
        <v>0.152972</v>
      </c>
      <c r="CE71" s="11">
        <v>0.167188</v>
      </c>
      <c r="CF71" s="11">
        <v>0.18260399999999999</v>
      </c>
      <c r="CG71" s="11">
        <v>0.199296</v>
      </c>
      <c r="CH71" s="11">
        <v>0.217339</v>
      </c>
      <c r="CI71" s="11">
        <v>0.23680999999999999</v>
      </c>
      <c r="CJ71" s="11">
        <v>0.25778099999999998</v>
      </c>
      <c r="CK71" s="11">
        <v>0.28032200000000002</v>
      </c>
      <c r="CL71" s="11">
        <v>0.30449700000000002</v>
      </c>
      <c r="CM71" s="11">
        <v>0.33036399999999999</v>
      </c>
      <c r="CN71" s="11">
        <v>0.35797200000000001</v>
      </c>
      <c r="CO71" s="11">
        <v>0.38735900000000001</v>
      </c>
      <c r="CP71" s="11">
        <v>0.41855100000000001</v>
      </c>
      <c r="CQ71" s="11">
        <v>0.45155699999999999</v>
      </c>
      <c r="CR71" s="11">
        <v>0.48637200000000003</v>
      </c>
      <c r="CS71" s="11">
        <v>0.52297000000000005</v>
      </c>
      <c r="CT71" s="11">
        <v>0.561307</v>
      </c>
      <c r="CU71" s="11">
        <v>0.60131500000000004</v>
      </c>
      <c r="CV71" s="11">
        <v>0.64290599999999998</v>
      </c>
      <c r="CW71" s="11">
        <v>0.68596699999999999</v>
      </c>
      <c r="CX71" s="11">
        <v>0.73036500000000004</v>
      </c>
      <c r="CY71" s="11">
        <v>0.77594300000000005</v>
      </c>
      <c r="CZ71" s="11">
        <v>0.82252700000000001</v>
      </c>
      <c r="DA71" s="11">
        <v>0.869923</v>
      </c>
      <c r="DB71" s="11">
        <v>0.91792499999999999</v>
      </c>
      <c r="DC71" s="11">
        <v>1</v>
      </c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</row>
    <row r="72" spans="1:130" s="40" customFormat="1">
      <c r="A72" s="35" t="s">
        <v>204</v>
      </c>
      <c r="B72" s="41" t="s">
        <v>134</v>
      </c>
      <c r="C72" s="42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>
        <v>1.452982E-3</v>
      </c>
      <c r="U72" s="39">
        <v>1.452982E-3</v>
      </c>
      <c r="V72" s="39">
        <v>1.452982E-3</v>
      </c>
      <c r="W72" s="39">
        <v>1.437008E-3</v>
      </c>
      <c r="X72" s="39">
        <v>1.414001E-3</v>
      </c>
      <c r="Y72" s="39">
        <v>1.384974E-3</v>
      </c>
      <c r="Z72" s="39">
        <v>1.3509990000000001E-3</v>
      </c>
      <c r="AA72" s="39">
        <v>1.3110039999999999E-3</v>
      </c>
      <c r="AB72" s="39">
        <v>1.2670159999999999E-3</v>
      </c>
      <c r="AC72" s="39">
        <v>1.218975E-3</v>
      </c>
      <c r="AD72" s="39">
        <v>1.1669989999999999E-3</v>
      </c>
      <c r="AE72" s="39">
        <v>1.1489989999999999E-3</v>
      </c>
      <c r="AF72" s="39">
        <v>1.128972E-3</v>
      </c>
      <c r="AG72" s="39">
        <v>1.1069770000000001E-3</v>
      </c>
      <c r="AH72" s="39">
        <v>1.083016E-3</v>
      </c>
      <c r="AI72" s="39">
        <v>1.0579820000000001E-3</v>
      </c>
      <c r="AJ72" s="39">
        <v>1.083016E-3</v>
      </c>
      <c r="AK72" s="39">
        <v>1.1109710000000001E-3</v>
      </c>
      <c r="AL72" s="39">
        <v>1.1410120000000001E-3</v>
      </c>
      <c r="AM72" s="39">
        <v>1.173019E-3</v>
      </c>
      <c r="AN72" s="39">
        <v>1.2080070000000001E-3</v>
      </c>
      <c r="AO72" s="39">
        <v>1.296997E-3</v>
      </c>
      <c r="AP72" s="39">
        <v>1.398027E-3</v>
      </c>
      <c r="AQ72" s="39">
        <v>1.5130040000000001E-3</v>
      </c>
      <c r="AR72" s="39">
        <v>1.643002E-3</v>
      </c>
      <c r="AS72" s="39">
        <v>1.792014E-3</v>
      </c>
      <c r="AT72" s="39">
        <v>1.947999E-3</v>
      </c>
      <c r="AU72" s="39">
        <v>2.125025E-3</v>
      </c>
      <c r="AV72" s="39">
        <v>2.3270249999999999E-3</v>
      </c>
      <c r="AW72" s="39">
        <v>2.5560259999999999E-3</v>
      </c>
      <c r="AX72" s="39">
        <v>2.817988E-3</v>
      </c>
      <c r="AY72" s="39">
        <v>3.0949710000000002E-3</v>
      </c>
      <c r="AZ72" s="39">
        <v>3.4099820000000002E-3</v>
      </c>
      <c r="BA72" s="39">
        <v>3.7689809999999998E-3</v>
      </c>
      <c r="BB72" s="39">
        <v>4.1800140000000001E-3</v>
      </c>
      <c r="BC72" s="39">
        <v>4.6349759999999999E-3</v>
      </c>
      <c r="BD72" s="39">
        <v>5.1029919999999998E-3</v>
      </c>
      <c r="BE72" s="39">
        <v>5.6160089999999999E-3</v>
      </c>
      <c r="BF72" s="39">
        <v>6.1960219999999998E-3</v>
      </c>
      <c r="BG72" s="39">
        <v>6.8529840000000003E-3</v>
      </c>
      <c r="BH72" s="39">
        <v>7.5430269999999999E-3</v>
      </c>
      <c r="BI72" s="39">
        <v>8.2780119999999995E-3</v>
      </c>
      <c r="BJ72" s="39">
        <v>9.0330240000000006E-3</v>
      </c>
      <c r="BK72" s="39">
        <v>9.8750000000000001E-3</v>
      </c>
      <c r="BL72" s="39">
        <v>1.0814010000000001E-2</v>
      </c>
      <c r="BM72" s="39">
        <v>1.186299E-2</v>
      </c>
      <c r="BN72" s="39">
        <v>1.295197E-2</v>
      </c>
      <c r="BO72" s="39">
        <v>1.4161999999999999E-2</v>
      </c>
      <c r="BP72" s="39">
        <v>1.550901E-2</v>
      </c>
      <c r="BQ72" s="39">
        <v>1.7009969999999999E-2</v>
      </c>
      <c r="BR72" s="39">
        <v>1.868498E-2</v>
      </c>
      <c r="BS72" s="39">
        <v>2.0516989999999999E-2</v>
      </c>
      <c r="BT72" s="39">
        <v>2.256203E-2</v>
      </c>
      <c r="BU72" s="39">
        <v>2.4847029999999999E-2</v>
      </c>
      <c r="BV72" s="39">
        <v>2.7231990000000001E-2</v>
      </c>
      <c r="BW72" s="39">
        <v>2.9634000000000001E-2</v>
      </c>
      <c r="BX72" s="39">
        <v>3.2073020000000001E-2</v>
      </c>
      <c r="BY72" s="39">
        <v>3.4743009999999998E-2</v>
      </c>
      <c r="BZ72" s="39">
        <v>3.7666980000000003E-2</v>
      </c>
      <c r="CA72" s="39">
        <v>4.0871020000000001E-2</v>
      </c>
      <c r="CB72" s="39">
        <v>4.450399E-2</v>
      </c>
      <c r="CC72" s="39">
        <v>4.8503989999999997E-2</v>
      </c>
      <c r="CD72" s="39">
        <v>5.2913010000000003E-2</v>
      </c>
      <c r="CE72" s="39">
        <v>5.7775020000000003E-2</v>
      </c>
      <c r="CF72" s="39">
        <v>6.3142000000000004E-2</v>
      </c>
      <c r="CG72" s="39">
        <v>6.8628010000000003E-2</v>
      </c>
      <c r="CH72" s="39">
        <v>7.4648019999999995E-2</v>
      </c>
      <c r="CI72" s="39">
        <v>8.1256030000000007E-2</v>
      </c>
      <c r="CJ72" s="39">
        <v>8.8518020000000003E-2</v>
      </c>
      <c r="CK72" s="39">
        <v>9.6217990000000003E-2</v>
      </c>
      <c r="CL72" s="39">
        <v>0.10431</v>
      </c>
      <c r="CM72" s="39">
        <v>0.112816</v>
      </c>
      <c r="CN72" s="39">
        <v>0.12207899999999999</v>
      </c>
      <c r="CO72" s="39">
        <v>0.13217400000000001</v>
      </c>
      <c r="CP72" s="39">
        <v>0.143179</v>
      </c>
      <c r="CQ72" s="39">
        <v>0.15514700000000001</v>
      </c>
      <c r="CR72" s="39">
        <v>0.168208</v>
      </c>
      <c r="CS72" s="39">
        <v>0.18246100000000001</v>
      </c>
      <c r="CT72" s="39">
        <v>0.19803000000000001</v>
      </c>
      <c r="CU72" s="39">
        <v>0.215035</v>
      </c>
      <c r="CV72" s="39">
        <v>0.232983</v>
      </c>
      <c r="CW72" s="39">
        <v>0.25254500000000002</v>
      </c>
      <c r="CX72" s="39">
        <v>0.27387800000000001</v>
      </c>
      <c r="CY72" s="39">
        <v>0.29715200000000003</v>
      </c>
      <c r="CZ72" s="39">
        <v>0.32255299999999998</v>
      </c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43"/>
      <c r="DM72" s="43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</row>
    <row r="73" spans="1:130" s="40" customFormat="1">
      <c r="A73" s="35" t="s">
        <v>204</v>
      </c>
      <c r="B73" s="41" t="s">
        <v>134</v>
      </c>
      <c r="C73" s="42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>
        <v>1.4890000000000001E-3</v>
      </c>
      <c r="T73" s="39">
        <v>1.4790000000000001E-3</v>
      </c>
      <c r="U73" s="39">
        <v>1.467E-3</v>
      </c>
      <c r="V73" s="39">
        <v>1.4530000000000001E-3</v>
      </c>
      <c r="W73" s="39">
        <v>1.4369999999999999E-3</v>
      </c>
      <c r="X73" s="39">
        <v>1.4139999999999999E-3</v>
      </c>
      <c r="Y73" s="39">
        <v>1.3849999999999999E-3</v>
      </c>
      <c r="Z73" s="39">
        <v>1.351E-3</v>
      </c>
      <c r="AA73" s="39">
        <v>1.3110000000000001E-3</v>
      </c>
      <c r="AB73" s="39">
        <v>1.2669999999999999E-3</v>
      </c>
      <c r="AC73" s="39">
        <v>1.219E-3</v>
      </c>
      <c r="AD73" s="39">
        <v>1.1670000000000001E-3</v>
      </c>
      <c r="AE73" s="39">
        <v>1.1490000000000001E-3</v>
      </c>
      <c r="AF73" s="39">
        <v>1.129E-3</v>
      </c>
      <c r="AG73" s="39">
        <v>1.1069999999999999E-3</v>
      </c>
      <c r="AH73" s="39">
        <v>1.083E-3</v>
      </c>
      <c r="AI73" s="39">
        <v>1.0579999999999999E-3</v>
      </c>
      <c r="AJ73" s="39">
        <v>1.083E-3</v>
      </c>
      <c r="AK73" s="39">
        <v>1.111E-3</v>
      </c>
      <c r="AL73" s="39">
        <v>1.1410000000000001E-3</v>
      </c>
      <c r="AM73" s="39">
        <v>1.173E-3</v>
      </c>
      <c r="AN73" s="39">
        <v>1.2080000000000001E-3</v>
      </c>
      <c r="AO73" s="39">
        <v>1.297E-3</v>
      </c>
      <c r="AP73" s="39">
        <v>1.3979999999999999E-3</v>
      </c>
      <c r="AQ73" s="39">
        <v>1.513E-3</v>
      </c>
      <c r="AR73" s="39">
        <v>1.6429999999999999E-3</v>
      </c>
      <c r="AS73" s="39">
        <v>1.792E-3</v>
      </c>
      <c r="AT73" s="39">
        <v>1.9480000000000001E-3</v>
      </c>
      <c r="AU73" s="39">
        <v>2.1250000000000002E-3</v>
      </c>
      <c r="AV73" s="39">
        <v>2.3270000000000001E-3</v>
      </c>
      <c r="AW73" s="39">
        <v>2.5560000000000001E-3</v>
      </c>
      <c r="AX73" s="39">
        <v>2.8180000000000002E-3</v>
      </c>
      <c r="AY73" s="39">
        <v>3.0950000000000001E-3</v>
      </c>
      <c r="AZ73" s="39">
        <v>3.4099999999999998E-3</v>
      </c>
      <c r="BA73" s="39">
        <v>3.7690000000000002E-3</v>
      </c>
      <c r="BB73" s="39">
        <v>4.1799999999999997E-3</v>
      </c>
      <c r="BC73" s="39">
        <v>4.6350000000000002E-3</v>
      </c>
      <c r="BD73" s="39">
        <v>5.1029999999999999E-3</v>
      </c>
      <c r="BE73" s="39">
        <v>5.6160000000000003E-3</v>
      </c>
      <c r="BF73" s="39">
        <v>6.1960000000000001E-3</v>
      </c>
      <c r="BG73" s="39">
        <v>6.8529999999999997E-3</v>
      </c>
      <c r="BH73" s="39">
        <v>7.5430000000000002E-3</v>
      </c>
      <c r="BI73" s="39">
        <v>8.2780000000000006E-3</v>
      </c>
      <c r="BJ73" s="39">
        <v>9.0329999999999994E-3</v>
      </c>
      <c r="BK73" s="39">
        <v>9.8750000000000001E-3</v>
      </c>
      <c r="BL73" s="39">
        <v>1.0814000000000001E-2</v>
      </c>
      <c r="BM73" s="39">
        <v>1.1863E-2</v>
      </c>
      <c r="BN73" s="39">
        <v>1.2952E-2</v>
      </c>
      <c r="BO73" s="39">
        <v>1.4161999999999999E-2</v>
      </c>
      <c r="BP73" s="39">
        <v>1.5509E-2</v>
      </c>
      <c r="BQ73" s="39">
        <v>1.7010000000000001E-2</v>
      </c>
      <c r="BR73" s="39">
        <v>1.8685E-2</v>
      </c>
      <c r="BS73" s="39">
        <v>2.0517000000000001E-2</v>
      </c>
      <c r="BT73" s="39">
        <v>2.2561999999999999E-2</v>
      </c>
      <c r="BU73" s="39">
        <v>2.4847000000000001E-2</v>
      </c>
      <c r="BV73" s="39">
        <v>2.7231999999999999E-2</v>
      </c>
      <c r="BW73" s="39">
        <v>2.9634000000000001E-2</v>
      </c>
      <c r="BX73" s="39">
        <v>3.2072999999999997E-2</v>
      </c>
      <c r="BY73" s="39">
        <v>3.4743000000000003E-2</v>
      </c>
      <c r="BZ73" s="39">
        <v>3.7666999999999999E-2</v>
      </c>
      <c r="CA73" s="39">
        <v>4.0870999999999998E-2</v>
      </c>
      <c r="CB73" s="39">
        <v>4.4504000000000002E-2</v>
      </c>
      <c r="CC73" s="39">
        <v>4.8503999999999999E-2</v>
      </c>
      <c r="CD73" s="39">
        <v>5.2913000000000002E-2</v>
      </c>
      <c r="CE73" s="39">
        <v>5.7775E-2</v>
      </c>
      <c r="CF73" s="39">
        <v>6.3142000000000004E-2</v>
      </c>
      <c r="CG73" s="39">
        <v>6.8627999999999995E-2</v>
      </c>
      <c r="CH73" s="39">
        <v>7.4648000000000006E-2</v>
      </c>
      <c r="CI73" s="39">
        <v>8.1255999999999995E-2</v>
      </c>
      <c r="CJ73" s="39">
        <v>8.8517999999999999E-2</v>
      </c>
      <c r="CK73" s="39">
        <v>9.6217999999999998E-2</v>
      </c>
      <c r="CL73" s="39">
        <v>0.10431</v>
      </c>
      <c r="CM73" s="39">
        <v>0.112816</v>
      </c>
      <c r="CN73" s="39">
        <v>0.12207899999999999</v>
      </c>
      <c r="CO73" s="39">
        <v>0.13217400000000001</v>
      </c>
      <c r="CP73" s="39">
        <v>0.143179</v>
      </c>
      <c r="CQ73" s="39">
        <v>0.15514700000000001</v>
      </c>
      <c r="CR73" s="39">
        <v>0.168208</v>
      </c>
      <c r="CS73" s="39">
        <v>0.18246100000000001</v>
      </c>
      <c r="CT73" s="39">
        <v>0.19803000000000001</v>
      </c>
      <c r="CU73" s="39">
        <v>0.215035</v>
      </c>
      <c r="CV73" s="39">
        <v>0.232983</v>
      </c>
      <c r="CW73" s="39">
        <v>0.25254500000000002</v>
      </c>
      <c r="CX73" s="39">
        <v>0.27387800000000001</v>
      </c>
      <c r="CY73" s="39">
        <v>0.29715200000000003</v>
      </c>
      <c r="CZ73" s="39">
        <v>0.32255299999999998</v>
      </c>
      <c r="DA73" s="39">
        <v>0.34950500000000001</v>
      </c>
      <c r="DB73" s="39">
        <v>0.37886500000000001</v>
      </c>
      <c r="DC73" s="39">
        <v>0.41087499999999999</v>
      </c>
      <c r="DD73" s="39">
        <v>0.445768</v>
      </c>
      <c r="DE73" s="39">
        <v>0.48382999999999998</v>
      </c>
      <c r="DF73" s="39">
        <v>0.52430100000000002</v>
      </c>
      <c r="DG73" s="39">
        <v>0.56836500000000001</v>
      </c>
      <c r="DH73" s="39">
        <v>0.61638199999999999</v>
      </c>
      <c r="DI73" s="39">
        <v>0.66869599999999996</v>
      </c>
      <c r="DJ73" s="39">
        <v>0.72574499999999997</v>
      </c>
      <c r="DK73" s="39">
        <v>1</v>
      </c>
      <c r="DL73" s="43"/>
      <c r="DM73" s="43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</row>
    <row r="74" spans="1:130" s="40" customFormat="1">
      <c r="A74" s="35" t="s">
        <v>204</v>
      </c>
      <c r="B74" s="41" t="s">
        <v>135</v>
      </c>
      <c r="C74" s="42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>
        <v>1.384974E-3</v>
      </c>
      <c r="U74" s="39">
        <v>1.3509990000000001E-3</v>
      </c>
      <c r="V74" s="39">
        <v>1.3110039999999999E-3</v>
      </c>
      <c r="W74" s="39">
        <v>1.2670159999999999E-3</v>
      </c>
      <c r="X74" s="39">
        <v>1.218975E-3</v>
      </c>
      <c r="Y74" s="39">
        <v>1.1669989999999999E-3</v>
      </c>
      <c r="Z74" s="39">
        <v>1.1489989999999999E-3</v>
      </c>
      <c r="AA74" s="39">
        <v>1.128972E-3</v>
      </c>
      <c r="AB74" s="39">
        <v>1.1069770000000001E-3</v>
      </c>
      <c r="AC74" s="39">
        <v>1.083016E-3</v>
      </c>
      <c r="AD74" s="39">
        <v>1.0579820000000001E-3</v>
      </c>
      <c r="AE74" s="39">
        <v>1.083016E-3</v>
      </c>
      <c r="AF74" s="39">
        <v>1.1109710000000001E-3</v>
      </c>
      <c r="AG74" s="39">
        <v>1.1410120000000001E-3</v>
      </c>
      <c r="AH74" s="39">
        <v>1.173019E-3</v>
      </c>
      <c r="AI74" s="39">
        <v>1.2080070000000001E-3</v>
      </c>
      <c r="AJ74" s="39">
        <v>1.296997E-3</v>
      </c>
      <c r="AK74" s="39">
        <v>1.398027E-3</v>
      </c>
      <c r="AL74" s="39">
        <v>1.5130040000000001E-3</v>
      </c>
      <c r="AM74" s="39">
        <v>1.643002E-3</v>
      </c>
      <c r="AN74" s="39">
        <v>1.792014E-3</v>
      </c>
      <c r="AO74" s="39">
        <v>1.947999E-3</v>
      </c>
      <c r="AP74" s="39">
        <v>2.125025E-3</v>
      </c>
      <c r="AQ74" s="39">
        <v>2.3270249999999999E-3</v>
      </c>
      <c r="AR74" s="39">
        <v>2.5560259999999999E-3</v>
      </c>
      <c r="AS74" s="39">
        <v>2.817988E-3</v>
      </c>
      <c r="AT74" s="39">
        <v>3.0949710000000002E-3</v>
      </c>
      <c r="AU74" s="39">
        <v>3.4099820000000002E-3</v>
      </c>
      <c r="AV74" s="39">
        <v>3.7689809999999998E-3</v>
      </c>
      <c r="AW74" s="39">
        <v>4.1800140000000001E-3</v>
      </c>
      <c r="AX74" s="39">
        <v>4.6349759999999999E-3</v>
      </c>
      <c r="AY74" s="39">
        <v>5.1029919999999998E-3</v>
      </c>
      <c r="AZ74" s="39">
        <v>5.6160089999999999E-3</v>
      </c>
      <c r="BA74" s="39">
        <v>6.1960219999999998E-3</v>
      </c>
      <c r="BB74" s="39">
        <v>6.8529840000000003E-3</v>
      </c>
      <c r="BC74" s="39">
        <v>7.5430269999999999E-3</v>
      </c>
      <c r="BD74" s="39">
        <v>8.2780119999999995E-3</v>
      </c>
      <c r="BE74" s="39">
        <v>9.0330240000000006E-3</v>
      </c>
      <c r="BF74" s="39">
        <v>9.8750000000000001E-3</v>
      </c>
      <c r="BG74" s="39">
        <v>1.0814010000000001E-2</v>
      </c>
      <c r="BH74" s="39">
        <v>1.186299E-2</v>
      </c>
      <c r="BI74" s="39">
        <v>1.295197E-2</v>
      </c>
      <c r="BJ74" s="39">
        <v>1.4161999999999999E-2</v>
      </c>
      <c r="BK74" s="39">
        <v>1.550901E-2</v>
      </c>
      <c r="BL74" s="39">
        <v>1.7009969999999999E-2</v>
      </c>
      <c r="BM74" s="39">
        <v>1.868498E-2</v>
      </c>
      <c r="BN74" s="39">
        <v>2.0516989999999999E-2</v>
      </c>
      <c r="BO74" s="39">
        <v>2.256203E-2</v>
      </c>
      <c r="BP74" s="39">
        <v>2.4847029999999999E-2</v>
      </c>
      <c r="BQ74" s="39">
        <v>2.7231990000000001E-2</v>
      </c>
      <c r="BR74" s="39">
        <v>2.9634000000000001E-2</v>
      </c>
      <c r="BS74" s="39">
        <v>3.2073020000000001E-2</v>
      </c>
      <c r="BT74" s="39">
        <v>3.4743009999999998E-2</v>
      </c>
      <c r="BU74" s="39">
        <v>3.7666980000000003E-2</v>
      </c>
      <c r="BV74" s="39">
        <v>4.0871020000000001E-2</v>
      </c>
      <c r="BW74" s="39">
        <v>4.450399E-2</v>
      </c>
      <c r="BX74" s="39">
        <v>4.8503989999999997E-2</v>
      </c>
      <c r="BY74" s="39">
        <v>5.2913010000000003E-2</v>
      </c>
      <c r="BZ74" s="39">
        <v>5.7775020000000003E-2</v>
      </c>
      <c r="CA74" s="39">
        <v>6.3142000000000004E-2</v>
      </c>
      <c r="CB74" s="39">
        <v>6.8628010000000003E-2</v>
      </c>
      <c r="CC74" s="39">
        <v>7.4648019999999995E-2</v>
      </c>
      <c r="CD74" s="39">
        <v>8.1256030000000007E-2</v>
      </c>
      <c r="CE74" s="39">
        <v>8.8518020000000003E-2</v>
      </c>
      <c r="CF74" s="39">
        <v>9.6217990000000003E-2</v>
      </c>
      <c r="CG74" s="39">
        <v>0.10431</v>
      </c>
      <c r="CH74" s="39">
        <v>0.112816</v>
      </c>
      <c r="CI74" s="39">
        <v>0.12207899999999999</v>
      </c>
      <c r="CJ74" s="39">
        <v>0.13217400000000001</v>
      </c>
      <c r="CK74" s="39">
        <v>0.143179</v>
      </c>
      <c r="CL74" s="39">
        <v>0.15514700000000001</v>
      </c>
      <c r="CM74" s="39">
        <v>0.168208</v>
      </c>
      <c r="CN74" s="39">
        <v>0.18246100000000001</v>
      </c>
      <c r="CO74" s="39">
        <v>0.19803000000000001</v>
      </c>
      <c r="CP74" s="39">
        <v>0.215035</v>
      </c>
      <c r="CQ74" s="39">
        <v>0.232983</v>
      </c>
      <c r="CR74" s="39">
        <v>0.25254500000000002</v>
      </c>
      <c r="CS74" s="39">
        <v>0.27387800000000001</v>
      </c>
      <c r="CT74" s="39">
        <v>0.29715200000000003</v>
      </c>
      <c r="CU74" s="39">
        <v>0.32255299999999998</v>
      </c>
      <c r="CV74" s="39">
        <v>0.34950500000000001</v>
      </c>
      <c r="CW74" s="39">
        <v>0.37886500000000001</v>
      </c>
      <c r="CX74" s="39">
        <v>0.41087499999999999</v>
      </c>
      <c r="CY74" s="39">
        <v>0.445768</v>
      </c>
      <c r="CZ74" s="39">
        <v>0.48382999999999998</v>
      </c>
      <c r="DA74" s="39"/>
      <c r="DB74" s="39"/>
      <c r="DC74" s="39"/>
      <c r="DD74" s="39"/>
      <c r="DE74" s="39"/>
      <c r="DF74" s="39"/>
      <c r="DG74" s="39"/>
      <c r="DH74" s="39"/>
      <c r="DI74" s="39"/>
      <c r="DJ74" s="39"/>
      <c r="DK74" s="39"/>
      <c r="DL74" s="43"/>
      <c r="DM74" s="43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</row>
    <row r="75" spans="1:130" s="40" customFormat="1">
      <c r="A75" s="35" t="s">
        <v>204</v>
      </c>
      <c r="B75" s="41" t="s">
        <v>135</v>
      </c>
      <c r="C75" s="42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>
        <v>1.4139999999999999E-3</v>
      </c>
      <c r="T75" s="39">
        <v>1.3849999999999999E-3</v>
      </c>
      <c r="U75" s="39">
        <v>1.351E-3</v>
      </c>
      <c r="V75" s="39">
        <v>1.3110000000000001E-3</v>
      </c>
      <c r="W75" s="39">
        <v>1.2669999999999999E-3</v>
      </c>
      <c r="X75" s="39">
        <v>1.219E-3</v>
      </c>
      <c r="Y75" s="39">
        <v>1.1670000000000001E-3</v>
      </c>
      <c r="Z75" s="39">
        <v>1.1490000000000001E-3</v>
      </c>
      <c r="AA75" s="39">
        <v>1.129E-3</v>
      </c>
      <c r="AB75" s="39">
        <v>1.1069999999999999E-3</v>
      </c>
      <c r="AC75" s="39">
        <v>1.083E-3</v>
      </c>
      <c r="AD75" s="39">
        <v>1.0579999999999999E-3</v>
      </c>
      <c r="AE75" s="39">
        <v>1.083E-3</v>
      </c>
      <c r="AF75" s="39">
        <v>1.111E-3</v>
      </c>
      <c r="AG75" s="39">
        <v>1.1410000000000001E-3</v>
      </c>
      <c r="AH75" s="39">
        <v>1.173E-3</v>
      </c>
      <c r="AI75" s="39">
        <v>1.2080000000000001E-3</v>
      </c>
      <c r="AJ75" s="39">
        <v>1.297E-3</v>
      </c>
      <c r="AK75" s="39">
        <v>1.3979999999999999E-3</v>
      </c>
      <c r="AL75" s="39">
        <v>1.513E-3</v>
      </c>
      <c r="AM75" s="39">
        <v>1.6429999999999999E-3</v>
      </c>
      <c r="AN75" s="39">
        <v>1.792E-3</v>
      </c>
      <c r="AO75" s="39">
        <v>1.9480000000000001E-3</v>
      </c>
      <c r="AP75" s="39">
        <v>2.1250000000000002E-3</v>
      </c>
      <c r="AQ75" s="39">
        <v>2.3270000000000001E-3</v>
      </c>
      <c r="AR75" s="39">
        <v>2.5560000000000001E-3</v>
      </c>
      <c r="AS75" s="39">
        <v>2.8180000000000002E-3</v>
      </c>
      <c r="AT75" s="39">
        <v>3.0950000000000001E-3</v>
      </c>
      <c r="AU75" s="39">
        <v>3.4099999999999998E-3</v>
      </c>
      <c r="AV75" s="39">
        <v>3.7690000000000002E-3</v>
      </c>
      <c r="AW75" s="39">
        <v>4.1799999999999997E-3</v>
      </c>
      <c r="AX75" s="39">
        <v>4.6350000000000002E-3</v>
      </c>
      <c r="AY75" s="39">
        <v>5.1029999999999999E-3</v>
      </c>
      <c r="AZ75" s="39">
        <v>5.6160000000000003E-3</v>
      </c>
      <c r="BA75" s="39">
        <v>6.1960000000000001E-3</v>
      </c>
      <c r="BB75" s="39">
        <v>6.8529999999999997E-3</v>
      </c>
      <c r="BC75" s="39">
        <v>7.5430000000000002E-3</v>
      </c>
      <c r="BD75" s="39">
        <v>8.2780000000000006E-3</v>
      </c>
      <c r="BE75" s="39">
        <v>9.0329999999999994E-3</v>
      </c>
      <c r="BF75" s="39">
        <v>9.8750000000000001E-3</v>
      </c>
      <c r="BG75" s="39">
        <v>1.0814000000000001E-2</v>
      </c>
      <c r="BH75" s="39">
        <v>1.1863E-2</v>
      </c>
      <c r="BI75" s="39">
        <v>1.2952E-2</v>
      </c>
      <c r="BJ75" s="39">
        <v>1.4161999999999999E-2</v>
      </c>
      <c r="BK75" s="39">
        <v>1.5509E-2</v>
      </c>
      <c r="BL75" s="39">
        <v>1.7010000000000001E-2</v>
      </c>
      <c r="BM75" s="39">
        <v>1.8685E-2</v>
      </c>
      <c r="BN75" s="39">
        <v>2.0517000000000001E-2</v>
      </c>
      <c r="BO75" s="39">
        <v>2.2561999999999999E-2</v>
      </c>
      <c r="BP75" s="39">
        <v>2.4847000000000001E-2</v>
      </c>
      <c r="BQ75" s="39">
        <v>2.7231999999999999E-2</v>
      </c>
      <c r="BR75" s="39">
        <v>2.9634000000000001E-2</v>
      </c>
      <c r="BS75" s="39">
        <v>3.2072999999999997E-2</v>
      </c>
      <c r="BT75" s="39">
        <v>3.4743000000000003E-2</v>
      </c>
      <c r="BU75" s="39">
        <v>3.7666999999999999E-2</v>
      </c>
      <c r="BV75" s="39">
        <v>4.0870999999999998E-2</v>
      </c>
      <c r="BW75" s="39">
        <v>4.4504000000000002E-2</v>
      </c>
      <c r="BX75" s="39">
        <v>4.8503999999999999E-2</v>
      </c>
      <c r="BY75" s="39">
        <v>5.2913000000000002E-2</v>
      </c>
      <c r="BZ75" s="39">
        <v>5.7775E-2</v>
      </c>
      <c r="CA75" s="39">
        <v>6.3142000000000004E-2</v>
      </c>
      <c r="CB75" s="39">
        <v>6.8627999999999995E-2</v>
      </c>
      <c r="CC75" s="39">
        <v>7.4648000000000006E-2</v>
      </c>
      <c r="CD75" s="39">
        <v>8.1255999999999995E-2</v>
      </c>
      <c r="CE75" s="39">
        <v>8.8517999999999999E-2</v>
      </c>
      <c r="CF75" s="39">
        <v>9.6217999999999998E-2</v>
      </c>
      <c r="CG75" s="39">
        <v>0.10431</v>
      </c>
      <c r="CH75" s="39">
        <v>0.112816</v>
      </c>
      <c r="CI75" s="39">
        <v>0.12207899999999999</v>
      </c>
      <c r="CJ75" s="39">
        <v>0.13217400000000001</v>
      </c>
      <c r="CK75" s="39">
        <v>0.143179</v>
      </c>
      <c r="CL75" s="39">
        <v>0.15514700000000001</v>
      </c>
      <c r="CM75" s="39">
        <v>0.168208</v>
      </c>
      <c r="CN75" s="39">
        <v>0.18246100000000001</v>
      </c>
      <c r="CO75" s="39">
        <v>0.19803000000000001</v>
      </c>
      <c r="CP75" s="39">
        <v>0.215035</v>
      </c>
      <c r="CQ75" s="39">
        <v>0.232983</v>
      </c>
      <c r="CR75" s="39">
        <v>0.25254500000000002</v>
      </c>
      <c r="CS75" s="39">
        <v>0.27387800000000001</v>
      </c>
      <c r="CT75" s="39">
        <v>0.29715200000000003</v>
      </c>
      <c r="CU75" s="39">
        <v>0.32255299999999998</v>
      </c>
      <c r="CV75" s="39">
        <v>0.34950500000000001</v>
      </c>
      <c r="CW75" s="39">
        <v>0.37886500000000001</v>
      </c>
      <c r="CX75" s="39">
        <v>0.41087499999999999</v>
      </c>
      <c r="CY75" s="39">
        <v>0.445768</v>
      </c>
      <c r="CZ75" s="39">
        <v>0.48382999999999998</v>
      </c>
      <c r="DA75" s="39">
        <v>0.52430100000000002</v>
      </c>
      <c r="DB75" s="39">
        <v>0.56836500000000001</v>
      </c>
      <c r="DC75" s="39">
        <v>0.61638199999999999</v>
      </c>
      <c r="DD75" s="39">
        <v>0.66869599999999996</v>
      </c>
      <c r="DE75" s="39">
        <v>0.72574499999999997</v>
      </c>
      <c r="DF75" s="39">
        <v>0.78649500000000006</v>
      </c>
      <c r="DG75" s="39">
        <v>0.85265899999999994</v>
      </c>
      <c r="DH75" s="39">
        <v>0.92466599999999999</v>
      </c>
      <c r="DI75" s="39">
        <v>1</v>
      </c>
      <c r="DJ75" s="39"/>
      <c r="DK75" s="39"/>
      <c r="DL75" s="43"/>
      <c r="DM75" s="43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</row>
    <row r="76" spans="1:130" s="40" customFormat="1">
      <c r="A76" s="35" t="s">
        <v>204</v>
      </c>
      <c r="B76" s="41" t="s">
        <v>214</v>
      </c>
      <c r="C76" s="42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>
        <v>1.4530000000000001E-3</v>
      </c>
      <c r="T76" s="39">
        <v>1.4369999999999999E-3</v>
      </c>
      <c r="U76" s="39">
        <v>1.4139999999999999E-3</v>
      </c>
      <c r="V76" s="39">
        <v>1.3849999999999999E-3</v>
      </c>
      <c r="W76" s="39">
        <v>1.351E-3</v>
      </c>
      <c r="X76" s="39">
        <v>1.3110000000000001E-3</v>
      </c>
      <c r="Y76" s="39">
        <v>1.2669999999999999E-3</v>
      </c>
      <c r="Z76" s="39">
        <v>1.219E-3</v>
      </c>
      <c r="AA76" s="39">
        <v>1.1670000000000001E-3</v>
      </c>
      <c r="AB76" s="39">
        <v>1.1490000000000001E-3</v>
      </c>
      <c r="AC76" s="39">
        <v>1.129E-3</v>
      </c>
      <c r="AD76" s="39">
        <v>1.1069999999999999E-3</v>
      </c>
      <c r="AE76" s="39">
        <v>1.083E-3</v>
      </c>
      <c r="AF76" s="39">
        <v>1.0579999999999999E-3</v>
      </c>
      <c r="AG76" s="39">
        <v>1.083E-3</v>
      </c>
      <c r="AH76" s="39">
        <v>1.111E-3</v>
      </c>
      <c r="AI76" s="39">
        <v>1.1410000000000001E-3</v>
      </c>
      <c r="AJ76" s="39">
        <v>1.173E-3</v>
      </c>
      <c r="AK76" s="39">
        <v>1.2080000000000001E-3</v>
      </c>
      <c r="AL76" s="39">
        <v>1.297E-3</v>
      </c>
      <c r="AM76" s="39">
        <v>1.3979999999999999E-3</v>
      </c>
      <c r="AN76" s="39">
        <v>1.513E-3</v>
      </c>
      <c r="AO76" s="39">
        <v>1.6429999999999999E-3</v>
      </c>
      <c r="AP76" s="39">
        <v>1.792E-3</v>
      </c>
      <c r="AQ76" s="39">
        <v>1.9480000000000001E-3</v>
      </c>
      <c r="AR76" s="39">
        <v>2.1250000000000002E-3</v>
      </c>
      <c r="AS76" s="39">
        <v>2.3270000000000001E-3</v>
      </c>
      <c r="AT76" s="39">
        <v>2.5560000000000001E-3</v>
      </c>
      <c r="AU76" s="39">
        <v>2.8180000000000002E-3</v>
      </c>
      <c r="AV76" s="39">
        <v>3.0950000000000001E-3</v>
      </c>
      <c r="AW76" s="39">
        <v>3.4099999999999998E-3</v>
      </c>
      <c r="AX76" s="39">
        <v>3.7690000000000002E-3</v>
      </c>
      <c r="AY76" s="39">
        <v>4.1799999999999997E-3</v>
      </c>
      <c r="AZ76" s="39">
        <v>4.6350000000000002E-3</v>
      </c>
      <c r="BA76" s="39">
        <v>5.1029999999999999E-3</v>
      </c>
      <c r="BB76" s="39">
        <v>5.6160000000000003E-3</v>
      </c>
      <c r="BC76" s="39">
        <v>6.1960000000000001E-3</v>
      </c>
      <c r="BD76" s="39">
        <v>6.8529999999999997E-3</v>
      </c>
      <c r="BE76" s="39">
        <v>7.5430000000000002E-3</v>
      </c>
      <c r="BF76" s="39">
        <v>8.2780000000000006E-3</v>
      </c>
      <c r="BG76" s="39">
        <v>9.0329999999999994E-3</v>
      </c>
      <c r="BH76" s="39">
        <v>9.8750000000000001E-3</v>
      </c>
      <c r="BI76" s="39">
        <v>1.0814000000000001E-2</v>
      </c>
      <c r="BJ76" s="39">
        <v>1.1863E-2</v>
      </c>
      <c r="BK76" s="39">
        <v>1.2952E-2</v>
      </c>
      <c r="BL76" s="39">
        <v>1.4161999999999999E-2</v>
      </c>
      <c r="BM76" s="39">
        <v>1.5509E-2</v>
      </c>
      <c r="BN76" s="39">
        <v>1.7010000000000001E-2</v>
      </c>
      <c r="BO76" s="39">
        <v>1.8685E-2</v>
      </c>
      <c r="BP76" s="39">
        <v>2.0517000000000001E-2</v>
      </c>
      <c r="BQ76" s="39">
        <v>2.2561999999999999E-2</v>
      </c>
      <c r="BR76" s="39">
        <v>2.4847000000000001E-2</v>
      </c>
      <c r="BS76" s="39">
        <v>2.7231999999999999E-2</v>
      </c>
      <c r="BT76" s="39">
        <v>2.9634000000000001E-2</v>
      </c>
      <c r="BU76" s="39">
        <v>3.2072999999999997E-2</v>
      </c>
      <c r="BV76" s="39">
        <v>3.4743000000000003E-2</v>
      </c>
      <c r="BW76" s="39">
        <v>3.7666999999999999E-2</v>
      </c>
      <c r="BX76" s="39">
        <v>4.0870999999999998E-2</v>
      </c>
      <c r="BY76" s="39">
        <v>4.4504000000000002E-2</v>
      </c>
      <c r="BZ76" s="39">
        <v>4.8503999999999999E-2</v>
      </c>
      <c r="CA76" s="39">
        <v>5.2913000000000002E-2</v>
      </c>
      <c r="CB76" s="39">
        <v>5.7775E-2</v>
      </c>
      <c r="CC76" s="39">
        <v>6.3142000000000004E-2</v>
      </c>
      <c r="CD76" s="39">
        <v>6.8627999999999995E-2</v>
      </c>
      <c r="CE76" s="39">
        <v>7.4648000000000006E-2</v>
      </c>
      <c r="CF76" s="39">
        <v>8.1255999999999995E-2</v>
      </c>
      <c r="CG76" s="39">
        <v>8.8517999999999999E-2</v>
      </c>
      <c r="CH76" s="39">
        <v>9.6217999999999998E-2</v>
      </c>
      <c r="CI76" s="39">
        <v>0.10431</v>
      </c>
      <c r="CJ76" s="39">
        <v>0.112816</v>
      </c>
      <c r="CK76" s="39">
        <v>0.12207899999999999</v>
      </c>
      <c r="CL76" s="39">
        <v>0.13217400000000001</v>
      </c>
      <c r="CM76" s="39">
        <v>0.143179</v>
      </c>
      <c r="CN76" s="39">
        <v>0.15514700000000001</v>
      </c>
      <c r="CO76" s="39">
        <v>0.168208</v>
      </c>
      <c r="CP76" s="39">
        <v>0.18246100000000001</v>
      </c>
      <c r="CQ76" s="39">
        <v>0.19803000000000001</v>
      </c>
      <c r="CR76" s="39">
        <v>0.215035</v>
      </c>
      <c r="CS76" s="39">
        <v>0.232983</v>
      </c>
      <c r="CT76" s="39">
        <v>0.25254500000000002</v>
      </c>
      <c r="CU76" s="39">
        <v>0.27387800000000001</v>
      </c>
      <c r="CV76" s="39">
        <v>0.29715200000000003</v>
      </c>
      <c r="CW76" s="39">
        <v>0.32255299999999998</v>
      </c>
      <c r="CX76" s="39">
        <v>0.34950500000000001</v>
      </c>
      <c r="CY76" s="39">
        <v>0.37886500000000001</v>
      </c>
      <c r="CZ76" s="39">
        <v>0.41087499999999999</v>
      </c>
      <c r="DA76" s="39">
        <v>0.445768</v>
      </c>
      <c r="DB76" s="39">
        <v>0.48382999999999998</v>
      </c>
      <c r="DC76" s="39">
        <v>0.52430100000000002</v>
      </c>
      <c r="DD76" s="39">
        <v>0.56836500000000001</v>
      </c>
      <c r="DE76" s="39">
        <v>0.61638199999999999</v>
      </c>
      <c r="DF76" s="39">
        <v>0.66869599999999996</v>
      </c>
      <c r="DG76" s="39">
        <v>0.72574499999999997</v>
      </c>
      <c r="DH76" s="39">
        <v>0.78649500000000006</v>
      </c>
      <c r="DI76" s="39">
        <v>0.85265899999999994</v>
      </c>
      <c r="DJ76" s="39">
        <v>0.92466599999999999</v>
      </c>
      <c r="DK76" s="39">
        <v>1</v>
      </c>
      <c r="DL76" s="43"/>
      <c r="DM76" s="43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</row>
    <row r="77" spans="1:130" s="44" customFormat="1">
      <c r="A77" s="30" t="s">
        <v>204</v>
      </c>
      <c r="B77" s="31" t="s">
        <v>212</v>
      </c>
      <c r="C77" s="30" t="s">
        <v>0</v>
      </c>
      <c r="D77" s="33"/>
      <c r="E77" s="33">
        <v>5.71E-4</v>
      </c>
      <c r="F77" s="33">
        <v>3.7199999999999999E-4</v>
      </c>
      <c r="G77" s="33">
        <v>2.7799999999999998E-4</v>
      </c>
      <c r="H77" s="33">
        <v>2.0799999999999999E-4</v>
      </c>
      <c r="I77" s="33">
        <v>1.8799999999999999E-4</v>
      </c>
      <c r="J77" s="33">
        <v>1.76E-4</v>
      </c>
      <c r="K77" s="33">
        <v>1.65E-4</v>
      </c>
      <c r="L77" s="33">
        <v>1.47E-4</v>
      </c>
      <c r="M77" s="33">
        <v>1.3999999999999999E-4</v>
      </c>
      <c r="N77" s="33">
        <v>1.4100000000000001E-4</v>
      </c>
      <c r="O77" s="33">
        <v>1.4799999999999999E-4</v>
      </c>
      <c r="P77" s="33">
        <v>1.5899999999999999E-4</v>
      </c>
      <c r="Q77" s="33">
        <v>1.7699999999999999E-4</v>
      </c>
      <c r="R77" s="33">
        <v>2.03E-4</v>
      </c>
      <c r="S77" s="33">
        <v>2.33E-4</v>
      </c>
      <c r="T77" s="33">
        <v>2.61E-4</v>
      </c>
      <c r="U77" s="33">
        <v>2.81E-4</v>
      </c>
      <c r="V77" s="33">
        <v>2.9300000000000002E-4</v>
      </c>
      <c r="W77" s="33">
        <v>3.01E-4</v>
      </c>
      <c r="X77" s="33">
        <v>3.0499999999999999E-4</v>
      </c>
      <c r="Y77" s="33">
        <v>3.0800000000000001E-4</v>
      </c>
      <c r="Z77" s="33">
        <v>3.1100000000000002E-4</v>
      </c>
      <c r="AA77" s="33">
        <v>3.1300000000000002E-4</v>
      </c>
      <c r="AB77" s="33">
        <v>3.1300000000000002E-4</v>
      </c>
      <c r="AC77" s="33">
        <v>3.1300000000000002E-4</v>
      </c>
      <c r="AD77" s="33">
        <v>3.1599999999999998E-4</v>
      </c>
      <c r="AE77" s="33">
        <v>3.2400000000000001E-4</v>
      </c>
      <c r="AF77" s="33">
        <v>3.3799999999999998E-4</v>
      </c>
      <c r="AG77" s="33">
        <v>3.5599999999999998E-4</v>
      </c>
      <c r="AH77" s="33">
        <v>3.77E-4</v>
      </c>
      <c r="AI77" s="33">
        <v>4.0099999999999999E-4</v>
      </c>
      <c r="AJ77" s="33">
        <v>4.2700000000000002E-4</v>
      </c>
      <c r="AK77" s="33">
        <v>4.5399999999999998E-4</v>
      </c>
      <c r="AL77" s="33">
        <v>4.8200000000000001E-4</v>
      </c>
      <c r="AM77" s="33">
        <v>5.1400000000000003E-4</v>
      </c>
      <c r="AN77" s="33">
        <v>5.5000000000000003E-4</v>
      </c>
      <c r="AO77" s="33">
        <v>5.9299999999999999E-4</v>
      </c>
      <c r="AP77" s="33">
        <v>6.4300000000000002E-4</v>
      </c>
      <c r="AQ77" s="33">
        <v>7.0100000000000002E-4</v>
      </c>
      <c r="AR77" s="33">
        <v>7.6300000000000001E-4</v>
      </c>
      <c r="AS77" s="33">
        <v>8.2600000000000002E-4</v>
      </c>
      <c r="AT77" s="33">
        <v>8.8800000000000001E-4</v>
      </c>
      <c r="AU77" s="33">
        <v>9.4300000000000004E-4</v>
      </c>
      <c r="AV77" s="33">
        <v>9.9200000000000004E-4</v>
      </c>
      <c r="AW77" s="33">
        <v>1.0460000000000001E-3</v>
      </c>
      <c r="AX77" s="33">
        <v>1.111E-3</v>
      </c>
      <c r="AY77" s="33">
        <v>1.196E-3</v>
      </c>
      <c r="AZ77" s="33">
        <v>1.297E-3</v>
      </c>
      <c r="BA77" s="33">
        <v>1.408E-3</v>
      </c>
      <c r="BB77" s="33">
        <v>1.536E-3</v>
      </c>
      <c r="BC77" s="33">
        <v>1.686E-3</v>
      </c>
      <c r="BD77" s="33">
        <v>1.864E-3</v>
      </c>
      <c r="BE77" s="33">
        <v>2.0509999999999999E-3</v>
      </c>
      <c r="BF77" s="33">
        <v>2.2409999999999999E-3</v>
      </c>
      <c r="BG77" s="33">
        <v>2.4659999999999999E-3</v>
      </c>
      <c r="BH77" s="33">
        <v>2.7550000000000001E-3</v>
      </c>
      <c r="BI77" s="33">
        <v>3.1389999999999999E-3</v>
      </c>
      <c r="BJ77" s="33">
        <v>3.6120000000000002E-3</v>
      </c>
      <c r="BK77" s="33">
        <v>4.1539999999999997E-3</v>
      </c>
      <c r="BL77" s="33">
        <v>4.7730000000000003E-3</v>
      </c>
      <c r="BM77" s="33">
        <v>5.476E-3</v>
      </c>
      <c r="BN77" s="33">
        <v>6.2709999999999997E-3</v>
      </c>
      <c r="BO77" s="33">
        <v>7.1789999999999996E-3</v>
      </c>
      <c r="BP77" s="33">
        <v>8.1939999999999999E-3</v>
      </c>
      <c r="BQ77" s="33">
        <v>9.2860000000000009E-3</v>
      </c>
      <c r="BR77" s="33">
        <v>1.0423E-2</v>
      </c>
      <c r="BS77" s="33">
        <v>1.1573999999999999E-2</v>
      </c>
      <c r="BT77" s="33">
        <v>1.2648E-2</v>
      </c>
      <c r="BU77" s="33">
        <v>1.3665E-2</v>
      </c>
      <c r="BV77" s="33">
        <v>1.4763E-2</v>
      </c>
      <c r="BW77" s="33">
        <v>1.6079E-2</v>
      </c>
      <c r="BX77" s="33">
        <v>1.7748E-2</v>
      </c>
      <c r="BY77" s="33">
        <v>1.9723999999999998E-2</v>
      </c>
      <c r="BZ77" s="33">
        <v>2.1915E-2</v>
      </c>
      <c r="CA77" s="33">
        <v>2.4393000000000001E-2</v>
      </c>
      <c r="CB77" s="33">
        <v>2.7231000000000002E-2</v>
      </c>
      <c r="CC77" s="33">
        <v>3.0501E-2</v>
      </c>
      <c r="CD77" s="33">
        <v>3.4114999999999999E-2</v>
      </c>
      <c r="CE77" s="33">
        <v>3.8024000000000002E-2</v>
      </c>
      <c r="CF77" s="33">
        <v>4.2361000000000003E-2</v>
      </c>
      <c r="CG77" s="33">
        <v>4.7260000000000003E-2</v>
      </c>
      <c r="CH77" s="33">
        <v>5.2852999999999997E-2</v>
      </c>
      <c r="CI77" s="33">
        <v>5.8985999999999997E-2</v>
      </c>
      <c r="CJ77" s="33">
        <v>6.5569000000000002E-2</v>
      </c>
      <c r="CK77" s="33">
        <v>7.2835999999999998E-2</v>
      </c>
      <c r="CL77" s="33">
        <v>8.1018000000000007E-2</v>
      </c>
      <c r="CM77" s="33">
        <v>9.0347999999999998E-2</v>
      </c>
      <c r="CN77" s="33">
        <v>0.100882</v>
      </c>
      <c r="CO77" s="33">
        <v>0.112467</v>
      </c>
      <c r="CP77" s="33">
        <v>0.12501599999999999</v>
      </c>
      <c r="CQ77" s="33">
        <v>0.13844200000000001</v>
      </c>
      <c r="CR77" s="33">
        <v>0.15265999999999999</v>
      </c>
      <c r="CS77" s="33">
        <v>0.16766800000000001</v>
      </c>
      <c r="CT77" s="33">
        <v>0.18352399999999999</v>
      </c>
      <c r="CU77" s="33">
        <v>0.20022899999999999</v>
      </c>
      <c r="CV77" s="33">
        <v>0.217783</v>
      </c>
      <c r="CW77" s="33">
        <v>0.23618800000000001</v>
      </c>
      <c r="CX77" s="33">
        <v>0.25560500000000003</v>
      </c>
      <c r="CY77" s="33">
        <v>0.27603499999999997</v>
      </c>
      <c r="CZ77" s="33">
        <v>0.29723300000000002</v>
      </c>
      <c r="DA77" s="33">
        <v>0.31895600000000002</v>
      </c>
      <c r="DB77" s="33">
        <v>0.34095999999999999</v>
      </c>
      <c r="DC77" s="33">
        <v>0.36458600000000002</v>
      </c>
      <c r="DD77" s="33">
        <v>0.38999600000000001</v>
      </c>
      <c r="DE77" s="33">
        <v>0.41517999999999999</v>
      </c>
      <c r="DF77" s="33">
        <v>0.43812600000000002</v>
      </c>
      <c r="DG77" s="33">
        <v>0.45682400000000001</v>
      </c>
      <c r="DH77" s="33">
        <v>0.471493</v>
      </c>
      <c r="DI77" s="33">
        <v>0.48347299999999999</v>
      </c>
      <c r="DJ77" s="33">
        <v>0.49243599999999998</v>
      </c>
      <c r="DK77" s="33">
        <v>0.498054</v>
      </c>
      <c r="DL77" s="33">
        <v>0.5</v>
      </c>
      <c r="DM77" s="33">
        <v>0.5</v>
      </c>
      <c r="DN77" s="33">
        <v>0.5</v>
      </c>
      <c r="DO77" s="33">
        <v>0.5</v>
      </c>
      <c r="DP77" s="33">
        <v>0.5</v>
      </c>
      <c r="DQ77" s="33">
        <v>0.5</v>
      </c>
      <c r="DR77" s="33">
        <v>0.5</v>
      </c>
      <c r="DS77" s="33">
        <v>0.5</v>
      </c>
      <c r="DT77" s="33">
        <v>1</v>
      </c>
      <c r="DU77" s="33"/>
      <c r="DV77" s="33"/>
      <c r="DW77" s="33"/>
      <c r="DX77" s="33"/>
      <c r="DY77" s="33"/>
      <c r="DZ77" s="33"/>
    </row>
    <row r="78" spans="1:130" s="40" customFormat="1">
      <c r="A78" s="35" t="s">
        <v>204</v>
      </c>
      <c r="B78" s="36" t="s">
        <v>212</v>
      </c>
      <c r="C78" s="35" t="s">
        <v>0</v>
      </c>
      <c r="D78" s="37"/>
      <c r="E78" s="37">
        <v>5.71E-4</v>
      </c>
      <c r="F78" s="37">
        <v>3.7199999999999999E-4</v>
      </c>
      <c r="G78" s="37">
        <v>2.7799999999999998E-4</v>
      </c>
      <c r="H78" s="37">
        <v>2.0799999999999999E-4</v>
      </c>
      <c r="I78" s="37">
        <v>1.8799999999999999E-4</v>
      </c>
      <c r="J78" s="37">
        <v>1.76E-4</v>
      </c>
      <c r="K78" s="37">
        <v>1.65E-4</v>
      </c>
      <c r="L78" s="37">
        <v>1.47E-4</v>
      </c>
      <c r="M78" s="37">
        <v>1.3999999999999999E-4</v>
      </c>
      <c r="N78" s="37">
        <v>1.4100000000000001E-4</v>
      </c>
      <c r="O78" s="37">
        <v>1.4799999999999999E-4</v>
      </c>
      <c r="P78" s="37">
        <v>1.5899999999999999E-4</v>
      </c>
      <c r="Q78" s="37">
        <v>1.7699999999999999E-4</v>
      </c>
      <c r="R78" s="37">
        <v>2.03E-4</v>
      </c>
      <c r="S78" s="37">
        <v>2.33E-4</v>
      </c>
      <c r="T78" s="37">
        <v>2.61E-4</v>
      </c>
      <c r="U78" s="37">
        <v>2.81E-4</v>
      </c>
      <c r="V78" s="37">
        <v>2.9300000000000002E-4</v>
      </c>
      <c r="W78" s="37">
        <v>3.01E-4</v>
      </c>
      <c r="X78" s="37">
        <v>3.0499999999999999E-4</v>
      </c>
      <c r="Y78" s="37">
        <v>3.0800000000000001E-4</v>
      </c>
      <c r="Z78" s="37">
        <v>3.1100000000000002E-4</v>
      </c>
      <c r="AA78" s="37">
        <v>3.1300000000000002E-4</v>
      </c>
      <c r="AB78" s="37">
        <v>3.1300000000000002E-4</v>
      </c>
      <c r="AC78" s="37">
        <v>3.1300000000000002E-4</v>
      </c>
      <c r="AD78" s="37">
        <v>3.1599999999999998E-4</v>
      </c>
      <c r="AE78" s="37">
        <v>3.2400000000000001E-4</v>
      </c>
      <c r="AF78" s="37">
        <v>3.3799999999999998E-4</v>
      </c>
      <c r="AG78" s="37">
        <v>3.5599999999999998E-4</v>
      </c>
      <c r="AH78" s="37">
        <v>3.77E-4</v>
      </c>
      <c r="AI78" s="37">
        <v>4.0099999999999999E-4</v>
      </c>
      <c r="AJ78" s="37">
        <v>4.2700000000000002E-4</v>
      </c>
      <c r="AK78" s="37">
        <v>4.5399999999999998E-4</v>
      </c>
      <c r="AL78" s="37">
        <v>4.8200000000000001E-4</v>
      </c>
      <c r="AM78" s="37">
        <v>5.1400000000000003E-4</v>
      </c>
      <c r="AN78" s="37">
        <v>5.5000000000000003E-4</v>
      </c>
      <c r="AO78" s="37">
        <v>5.9299999999999999E-4</v>
      </c>
      <c r="AP78" s="37">
        <v>6.4300000000000002E-4</v>
      </c>
      <c r="AQ78" s="37">
        <v>7.0100000000000002E-4</v>
      </c>
      <c r="AR78" s="37">
        <v>7.6300000000000001E-4</v>
      </c>
      <c r="AS78" s="37">
        <v>8.2600000000000002E-4</v>
      </c>
      <c r="AT78" s="37">
        <v>8.8800000000000001E-4</v>
      </c>
      <c r="AU78" s="37">
        <v>9.4300000000000004E-4</v>
      </c>
      <c r="AV78" s="37">
        <v>9.9200000000000004E-4</v>
      </c>
      <c r="AW78" s="37">
        <v>1.0460000000000001E-3</v>
      </c>
      <c r="AX78" s="37">
        <v>1.111E-3</v>
      </c>
      <c r="AY78" s="37">
        <v>1.196E-3</v>
      </c>
      <c r="AZ78" s="37">
        <v>1.297E-3</v>
      </c>
      <c r="BA78" s="37">
        <v>1.408E-3</v>
      </c>
      <c r="BB78" s="37">
        <v>1.536E-3</v>
      </c>
      <c r="BC78" s="37">
        <v>1.686E-3</v>
      </c>
      <c r="BD78" s="37">
        <v>1.864E-3</v>
      </c>
      <c r="BE78" s="37">
        <v>2.0509999999999999E-3</v>
      </c>
      <c r="BF78" s="37">
        <v>2.2409999999999999E-3</v>
      </c>
      <c r="BG78" s="37">
        <v>2.4659999999999999E-3</v>
      </c>
      <c r="BH78" s="37">
        <v>2.7550000000000001E-3</v>
      </c>
      <c r="BI78" s="37">
        <v>3.1389999999999999E-3</v>
      </c>
      <c r="BJ78" s="37">
        <v>3.6120000000000002E-3</v>
      </c>
      <c r="BK78" s="37">
        <v>4.1539999999999997E-3</v>
      </c>
      <c r="BL78" s="37">
        <v>4.7730000000000003E-3</v>
      </c>
      <c r="BM78" s="37">
        <v>5.476E-3</v>
      </c>
      <c r="BN78" s="37">
        <v>6.2709999999999997E-3</v>
      </c>
      <c r="BO78" s="37">
        <v>7.1789999999999996E-3</v>
      </c>
      <c r="BP78" s="37">
        <v>8.1939999999999999E-3</v>
      </c>
      <c r="BQ78" s="37">
        <v>9.2860000000000009E-3</v>
      </c>
      <c r="BR78" s="37">
        <v>1.0423E-2</v>
      </c>
      <c r="BS78" s="37">
        <v>1.1573999999999999E-2</v>
      </c>
      <c r="BT78" s="37">
        <v>1.2648E-2</v>
      </c>
      <c r="BU78" s="37">
        <v>1.3665E-2</v>
      </c>
      <c r="BV78" s="37">
        <v>1.4763E-2</v>
      </c>
      <c r="BW78" s="37">
        <v>1.6079E-2</v>
      </c>
      <c r="BX78" s="37">
        <v>1.7748E-2</v>
      </c>
      <c r="BY78" s="37">
        <v>1.9723999999999998E-2</v>
      </c>
      <c r="BZ78" s="37">
        <v>2.1915E-2</v>
      </c>
      <c r="CA78" s="37">
        <v>2.4393000000000001E-2</v>
      </c>
      <c r="CB78" s="37">
        <v>2.7231000000000002E-2</v>
      </c>
      <c r="CC78" s="37">
        <v>3.0501E-2</v>
      </c>
      <c r="CD78" s="37">
        <v>3.4114999999999999E-2</v>
      </c>
      <c r="CE78" s="37">
        <v>3.8024000000000002E-2</v>
      </c>
      <c r="CF78" s="37">
        <v>4.2361000000000003E-2</v>
      </c>
      <c r="CG78" s="37">
        <v>4.7260000000000003E-2</v>
      </c>
      <c r="CH78" s="37">
        <v>5.2852999999999997E-2</v>
      </c>
      <c r="CI78" s="37">
        <v>5.8985999999999997E-2</v>
      </c>
      <c r="CJ78" s="37">
        <v>6.5569000000000002E-2</v>
      </c>
      <c r="CK78" s="37">
        <v>7.2835999999999998E-2</v>
      </c>
      <c r="CL78" s="37">
        <v>8.1018000000000007E-2</v>
      </c>
      <c r="CM78" s="37">
        <v>9.0347999999999998E-2</v>
      </c>
      <c r="CN78" s="37">
        <v>0.100882</v>
      </c>
      <c r="CO78" s="37">
        <v>0.112467</v>
      </c>
      <c r="CP78" s="37">
        <v>0.12501599999999999</v>
      </c>
      <c r="CQ78" s="37">
        <v>0.13844200000000001</v>
      </c>
      <c r="CR78" s="37">
        <v>0.15265999999999999</v>
      </c>
      <c r="CS78" s="37">
        <v>0.16766800000000001</v>
      </c>
      <c r="CT78" s="37">
        <v>0.18352399999999999</v>
      </c>
      <c r="CU78" s="37">
        <v>0.20022899999999999</v>
      </c>
      <c r="CV78" s="37">
        <v>0.217783</v>
      </c>
      <c r="CW78" s="37">
        <v>0.23618800000000001</v>
      </c>
      <c r="CX78" s="37">
        <v>0.25560500000000003</v>
      </c>
      <c r="CY78" s="37">
        <v>0.27603499999999997</v>
      </c>
      <c r="CZ78" s="37">
        <v>0.29723300000000002</v>
      </c>
      <c r="DA78" s="37">
        <v>0.31895600000000002</v>
      </c>
      <c r="DB78" s="37">
        <v>0.34095999999999999</v>
      </c>
      <c r="DC78" s="37">
        <v>0.36458600000000002</v>
      </c>
      <c r="DD78" s="37">
        <v>0.38999600000000001</v>
      </c>
      <c r="DE78" s="37">
        <v>0.41517999999999999</v>
      </c>
      <c r="DF78" s="37">
        <v>0.43812600000000002</v>
      </c>
      <c r="DG78" s="37">
        <v>0.45682400000000001</v>
      </c>
      <c r="DH78" s="37">
        <v>0.471493</v>
      </c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</row>
    <row r="79" spans="1:130" s="44" customFormat="1">
      <c r="A79" s="30" t="s">
        <v>204</v>
      </c>
      <c r="B79" s="31" t="s">
        <v>211</v>
      </c>
      <c r="C79" s="30" t="s">
        <v>0</v>
      </c>
      <c r="D79" s="33"/>
      <c r="E79" s="33">
        <v>6.3699999999999998E-4</v>
      </c>
      <c r="F79" s="33">
        <v>4.2999999999999999E-4</v>
      </c>
      <c r="G79" s="33">
        <v>3.57E-4</v>
      </c>
      <c r="H79" s="33">
        <v>2.7799999999999998E-4</v>
      </c>
      <c r="I79" s="33">
        <v>2.5500000000000002E-4</v>
      </c>
      <c r="J79" s="33">
        <v>2.4399999999999999E-4</v>
      </c>
      <c r="K79" s="33">
        <v>2.34E-4</v>
      </c>
      <c r="L79" s="33">
        <v>2.1599999999999999E-4</v>
      </c>
      <c r="M79" s="33">
        <v>2.0900000000000001E-4</v>
      </c>
      <c r="N79" s="33">
        <v>2.12E-4</v>
      </c>
      <c r="O79" s="33">
        <v>2.23E-4</v>
      </c>
      <c r="P79" s="33">
        <v>2.43E-4</v>
      </c>
      <c r="Q79" s="33">
        <v>2.7500000000000002E-4</v>
      </c>
      <c r="R79" s="33">
        <v>3.2000000000000003E-4</v>
      </c>
      <c r="S79" s="33">
        <v>3.7100000000000002E-4</v>
      </c>
      <c r="T79" s="33">
        <v>4.2099999999999999E-4</v>
      </c>
      <c r="U79" s="33">
        <v>4.6299999999999998E-4</v>
      </c>
      <c r="V79" s="33">
        <v>4.95E-4</v>
      </c>
      <c r="W79" s="33">
        <v>5.2099999999999998E-4</v>
      </c>
      <c r="X79" s="33">
        <v>5.4500000000000002E-4</v>
      </c>
      <c r="Y79" s="33">
        <v>5.6999999999999998E-4</v>
      </c>
      <c r="Z79" s="33">
        <v>5.9800000000000001E-4</v>
      </c>
      <c r="AA79" s="33">
        <v>6.3299999999999999E-4</v>
      </c>
      <c r="AB79" s="33">
        <v>6.7100000000000005E-4</v>
      </c>
      <c r="AC79" s="33">
        <v>7.1100000000000004E-4</v>
      </c>
      <c r="AD79" s="33">
        <v>7.4899999999999999E-4</v>
      </c>
      <c r="AE79" s="33">
        <v>7.8200000000000003E-4</v>
      </c>
      <c r="AF79" s="33">
        <v>8.1099999999999998E-4</v>
      </c>
      <c r="AG79" s="33">
        <v>8.3799999999999999E-4</v>
      </c>
      <c r="AH79" s="33">
        <v>8.6200000000000003E-4</v>
      </c>
      <c r="AI79" s="33">
        <v>8.83E-4</v>
      </c>
      <c r="AJ79" s="33">
        <v>9.0200000000000002E-4</v>
      </c>
      <c r="AK79" s="33">
        <v>9.1200000000000005E-4</v>
      </c>
      <c r="AL79" s="33">
        <v>9.1299999999999997E-4</v>
      </c>
      <c r="AM79" s="33">
        <v>9.1500000000000001E-4</v>
      </c>
      <c r="AN79" s="33">
        <v>9.2699999999999998E-4</v>
      </c>
      <c r="AO79" s="33">
        <v>9.5799999999999998E-4</v>
      </c>
      <c r="AP79" s="33">
        <v>1.01E-3</v>
      </c>
      <c r="AQ79" s="33">
        <v>1.075E-3</v>
      </c>
      <c r="AR79" s="33">
        <v>1.1529999999999999E-3</v>
      </c>
      <c r="AS79" s="33">
        <v>1.243E-3</v>
      </c>
      <c r="AT79" s="33">
        <v>1.346E-3</v>
      </c>
      <c r="AU79" s="33">
        <v>1.454E-3</v>
      </c>
      <c r="AV79" s="33">
        <v>1.5679999999999999E-3</v>
      </c>
      <c r="AW79" s="33">
        <v>1.6969999999999999E-3</v>
      </c>
      <c r="AX79" s="33">
        <v>1.8519999999999999E-3</v>
      </c>
      <c r="AY79" s="33">
        <v>2.042E-3</v>
      </c>
      <c r="AZ79" s="33">
        <v>2.2599999999999999E-3</v>
      </c>
      <c r="BA79" s="33">
        <v>2.5010000000000002E-3</v>
      </c>
      <c r="BB79" s="33">
        <v>2.7729999999999999E-3</v>
      </c>
      <c r="BC79" s="33">
        <v>3.088E-3</v>
      </c>
      <c r="BD79" s="33">
        <v>3.4550000000000002E-3</v>
      </c>
      <c r="BE79" s="33">
        <v>3.8539999999999998E-3</v>
      </c>
      <c r="BF79" s="33">
        <v>4.2779999999999997E-3</v>
      </c>
      <c r="BG79" s="33">
        <v>4.7580000000000001E-3</v>
      </c>
      <c r="BH79" s="33">
        <v>5.3220000000000003E-3</v>
      </c>
      <c r="BI79" s="33">
        <v>6.0010000000000003E-3</v>
      </c>
      <c r="BJ79" s="33">
        <v>6.7739999999999996E-3</v>
      </c>
      <c r="BK79" s="33">
        <v>7.6229999999999996E-3</v>
      </c>
      <c r="BL79" s="33">
        <v>8.5760000000000003E-3</v>
      </c>
      <c r="BM79" s="33">
        <v>9.6629999999999997E-3</v>
      </c>
      <c r="BN79" s="33">
        <v>1.0911000000000001E-2</v>
      </c>
      <c r="BO79" s="33">
        <v>1.2335E-2</v>
      </c>
      <c r="BP79" s="33">
        <v>1.3913999999999999E-2</v>
      </c>
      <c r="BQ79" s="33">
        <v>1.5629000000000001E-2</v>
      </c>
      <c r="BR79" s="33">
        <v>1.7461999999999998E-2</v>
      </c>
      <c r="BS79" s="33">
        <v>1.9390999999999999E-2</v>
      </c>
      <c r="BT79" s="33">
        <v>2.1354000000000001E-2</v>
      </c>
      <c r="BU79" s="33">
        <v>2.3363999999999999E-2</v>
      </c>
      <c r="BV79" s="33">
        <v>2.5516E-2</v>
      </c>
      <c r="BW79" s="33">
        <v>2.7904999999999999E-2</v>
      </c>
      <c r="BX79" s="33">
        <v>3.0624999999999999E-2</v>
      </c>
      <c r="BY79" s="33">
        <v>3.3549000000000002E-2</v>
      </c>
      <c r="BZ79" s="33">
        <v>3.6614000000000001E-2</v>
      </c>
      <c r="CA79" s="33">
        <v>4.0011999999999999E-2</v>
      </c>
      <c r="CB79" s="33">
        <v>4.3933E-2</v>
      </c>
      <c r="CC79" s="33">
        <v>4.8570000000000002E-2</v>
      </c>
      <c r="CD79" s="33">
        <v>5.3990999999999997E-2</v>
      </c>
      <c r="CE79" s="33">
        <v>6.0066000000000001E-2</v>
      </c>
      <c r="CF79" s="33">
        <v>6.6696000000000005E-2</v>
      </c>
      <c r="CG79" s="33">
        <v>7.3779999999999998E-2</v>
      </c>
      <c r="CH79" s="33">
        <v>8.1216999999999998E-2</v>
      </c>
      <c r="CI79" s="33">
        <v>8.8720999999999994E-2</v>
      </c>
      <c r="CJ79" s="33">
        <v>9.6357999999999999E-2</v>
      </c>
      <c r="CK79" s="33">
        <v>0.104559</v>
      </c>
      <c r="CL79" s="33">
        <v>0.113755</v>
      </c>
      <c r="CM79" s="33">
        <v>0.124377</v>
      </c>
      <c r="CN79" s="33">
        <v>0.13653699999999999</v>
      </c>
      <c r="CO79" s="33">
        <v>0.149949</v>
      </c>
      <c r="CP79" s="33">
        <v>0.164442</v>
      </c>
      <c r="CQ79" s="33">
        <v>0.17984900000000001</v>
      </c>
      <c r="CR79" s="33">
        <v>0.19600100000000001</v>
      </c>
      <c r="CS79" s="33">
        <v>0.21332499999999999</v>
      </c>
      <c r="CT79" s="33">
        <v>0.231936</v>
      </c>
      <c r="CU79" s="33">
        <v>0.251189</v>
      </c>
      <c r="CV79" s="33">
        <v>0.27044099999999999</v>
      </c>
      <c r="CW79" s="33">
        <v>0.28904800000000003</v>
      </c>
      <c r="CX79" s="33">
        <v>0.30675000000000002</v>
      </c>
      <c r="CY79" s="33">
        <v>0.32397599999999999</v>
      </c>
      <c r="CZ79" s="33">
        <v>0.34111599999999997</v>
      </c>
      <c r="DA79" s="33">
        <v>0.35855999999999999</v>
      </c>
      <c r="DB79" s="33">
        <v>0.37669900000000001</v>
      </c>
      <c r="DC79" s="33">
        <v>0.39688400000000001</v>
      </c>
      <c r="DD79" s="33">
        <v>0.41885499999999998</v>
      </c>
      <c r="DE79" s="33">
        <v>0.440585</v>
      </c>
      <c r="DF79" s="33">
        <v>0.46004299999999998</v>
      </c>
      <c r="DG79" s="33">
        <v>0.47520000000000001</v>
      </c>
      <c r="DH79" s="33">
        <v>0.48566999999999999</v>
      </c>
      <c r="DI79" s="33">
        <v>0.492807</v>
      </c>
      <c r="DJ79" s="33">
        <v>0.49718899999999999</v>
      </c>
      <c r="DK79" s="33">
        <v>0.499394</v>
      </c>
      <c r="DL79" s="33">
        <v>0.5</v>
      </c>
      <c r="DM79" s="33">
        <v>0.5</v>
      </c>
      <c r="DN79" s="33">
        <v>0.5</v>
      </c>
      <c r="DO79" s="33">
        <v>0.5</v>
      </c>
      <c r="DP79" s="33">
        <v>0.5</v>
      </c>
      <c r="DQ79" s="33">
        <v>0.5</v>
      </c>
      <c r="DR79" s="33">
        <v>0.5</v>
      </c>
      <c r="DS79" s="33">
        <v>0.5</v>
      </c>
      <c r="DT79" s="33">
        <v>1</v>
      </c>
      <c r="DU79" s="33"/>
      <c r="DV79" s="33"/>
      <c r="DW79" s="33"/>
      <c r="DX79" s="33"/>
      <c r="DY79" s="33"/>
      <c r="DZ79" s="33"/>
    </row>
    <row r="80" spans="1:130" s="40" customFormat="1">
      <c r="A80" s="35" t="s">
        <v>204</v>
      </c>
      <c r="B80" s="36" t="s">
        <v>211</v>
      </c>
      <c r="C80" s="35" t="s">
        <v>0</v>
      </c>
      <c r="D80" s="37"/>
      <c r="E80" s="37">
        <v>6.3699999999999998E-4</v>
      </c>
      <c r="F80" s="37">
        <v>4.2999999999999999E-4</v>
      </c>
      <c r="G80" s="37">
        <v>3.57E-4</v>
      </c>
      <c r="H80" s="37">
        <v>2.7799999999999998E-4</v>
      </c>
      <c r="I80" s="37">
        <v>2.5500000000000002E-4</v>
      </c>
      <c r="J80" s="37">
        <v>2.4399999999999999E-4</v>
      </c>
      <c r="K80" s="37">
        <v>2.34E-4</v>
      </c>
      <c r="L80" s="37">
        <v>2.1599999999999999E-4</v>
      </c>
      <c r="M80" s="37">
        <v>2.0900000000000001E-4</v>
      </c>
      <c r="N80" s="37">
        <v>2.12E-4</v>
      </c>
      <c r="O80" s="37">
        <v>2.23E-4</v>
      </c>
      <c r="P80" s="37">
        <v>2.43E-4</v>
      </c>
      <c r="Q80" s="37">
        <v>2.7500000000000002E-4</v>
      </c>
      <c r="R80" s="37">
        <v>3.2000000000000003E-4</v>
      </c>
      <c r="S80" s="37">
        <v>3.7100000000000002E-4</v>
      </c>
      <c r="T80" s="37">
        <v>4.2099999999999999E-4</v>
      </c>
      <c r="U80" s="37">
        <v>4.6299999999999998E-4</v>
      </c>
      <c r="V80" s="37">
        <v>4.95E-4</v>
      </c>
      <c r="W80" s="37">
        <v>5.2099999999999998E-4</v>
      </c>
      <c r="X80" s="37">
        <v>5.4500000000000002E-4</v>
      </c>
      <c r="Y80" s="37">
        <v>5.6999999999999998E-4</v>
      </c>
      <c r="Z80" s="37">
        <v>5.9800000000000001E-4</v>
      </c>
      <c r="AA80" s="37">
        <v>6.3299999999999999E-4</v>
      </c>
      <c r="AB80" s="37">
        <v>6.7100000000000005E-4</v>
      </c>
      <c r="AC80" s="37">
        <v>7.1100000000000004E-4</v>
      </c>
      <c r="AD80" s="37">
        <v>7.4899999999999999E-4</v>
      </c>
      <c r="AE80" s="37">
        <v>7.8200000000000003E-4</v>
      </c>
      <c r="AF80" s="37">
        <v>8.1099999999999998E-4</v>
      </c>
      <c r="AG80" s="37">
        <v>8.3799999999999999E-4</v>
      </c>
      <c r="AH80" s="37">
        <v>8.6200000000000003E-4</v>
      </c>
      <c r="AI80" s="37">
        <v>8.83E-4</v>
      </c>
      <c r="AJ80" s="37">
        <v>9.0200000000000002E-4</v>
      </c>
      <c r="AK80" s="37">
        <v>9.1200000000000005E-4</v>
      </c>
      <c r="AL80" s="37">
        <v>9.1299999999999997E-4</v>
      </c>
      <c r="AM80" s="37">
        <v>9.1500000000000001E-4</v>
      </c>
      <c r="AN80" s="37">
        <v>9.2699999999999998E-4</v>
      </c>
      <c r="AO80" s="37">
        <v>9.5799999999999998E-4</v>
      </c>
      <c r="AP80" s="37">
        <v>1.01E-3</v>
      </c>
      <c r="AQ80" s="37">
        <v>1.075E-3</v>
      </c>
      <c r="AR80" s="37">
        <v>1.1529999999999999E-3</v>
      </c>
      <c r="AS80" s="37">
        <v>1.243E-3</v>
      </c>
      <c r="AT80" s="37">
        <v>1.346E-3</v>
      </c>
      <c r="AU80" s="37">
        <v>1.454E-3</v>
      </c>
      <c r="AV80" s="37">
        <v>1.5679999999999999E-3</v>
      </c>
      <c r="AW80" s="37">
        <v>1.6969999999999999E-3</v>
      </c>
      <c r="AX80" s="37">
        <v>1.8519999999999999E-3</v>
      </c>
      <c r="AY80" s="37">
        <v>2.042E-3</v>
      </c>
      <c r="AZ80" s="37">
        <v>2.2599999999999999E-3</v>
      </c>
      <c r="BA80" s="37">
        <v>2.5010000000000002E-3</v>
      </c>
      <c r="BB80" s="37">
        <v>2.7729999999999999E-3</v>
      </c>
      <c r="BC80" s="37">
        <v>3.088E-3</v>
      </c>
      <c r="BD80" s="37">
        <v>3.4550000000000002E-3</v>
      </c>
      <c r="BE80" s="37">
        <v>3.8539999999999998E-3</v>
      </c>
      <c r="BF80" s="37">
        <v>4.2779999999999997E-3</v>
      </c>
      <c r="BG80" s="37">
        <v>4.7580000000000001E-3</v>
      </c>
      <c r="BH80" s="37">
        <v>5.3220000000000003E-3</v>
      </c>
      <c r="BI80" s="37">
        <v>6.0010000000000003E-3</v>
      </c>
      <c r="BJ80" s="37">
        <v>6.7739999999999996E-3</v>
      </c>
      <c r="BK80" s="37">
        <v>7.6229999999999996E-3</v>
      </c>
      <c r="BL80" s="37">
        <v>8.5760000000000003E-3</v>
      </c>
      <c r="BM80" s="37">
        <v>9.6629999999999997E-3</v>
      </c>
      <c r="BN80" s="37">
        <v>1.0911000000000001E-2</v>
      </c>
      <c r="BO80" s="37">
        <v>1.2335E-2</v>
      </c>
      <c r="BP80" s="37">
        <v>1.3913999999999999E-2</v>
      </c>
      <c r="BQ80" s="37">
        <v>1.5629000000000001E-2</v>
      </c>
      <c r="BR80" s="37">
        <v>1.7461999999999998E-2</v>
      </c>
      <c r="BS80" s="37">
        <v>1.9390999999999999E-2</v>
      </c>
      <c r="BT80" s="37">
        <v>2.1354000000000001E-2</v>
      </c>
      <c r="BU80" s="37">
        <v>2.3363999999999999E-2</v>
      </c>
      <c r="BV80" s="37">
        <v>2.5516E-2</v>
      </c>
      <c r="BW80" s="37">
        <v>2.7904999999999999E-2</v>
      </c>
      <c r="BX80" s="37">
        <v>3.0624999999999999E-2</v>
      </c>
      <c r="BY80" s="37">
        <v>3.3549000000000002E-2</v>
      </c>
      <c r="BZ80" s="37">
        <v>3.6614000000000001E-2</v>
      </c>
      <c r="CA80" s="37">
        <v>4.0011999999999999E-2</v>
      </c>
      <c r="CB80" s="37">
        <v>4.3933E-2</v>
      </c>
      <c r="CC80" s="37">
        <v>4.8570000000000002E-2</v>
      </c>
      <c r="CD80" s="37">
        <v>5.3990999999999997E-2</v>
      </c>
      <c r="CE80" s="37">
        <v>6.0066000000000001E-2</v>
      </c>
      <c r="CF80" s="37">
        <v>6.6696000000000005E-2</v>
      </c>
      <c r="CG80" s="37">
        <v>7.3779999999999998E-2</v>
      </c>
      <c r="CH80" s="37">
        <v>8.1216999999999998E-2</v>
      </c>
      <c r="CI80" s="37">
        <v>8.8720999999999994E-2</v>
      </c>
      <c r="CJ80" s="37">
        <v>9.6357999999999999E-2</v>
      </c>
      <c r="CK80" s="37">
        <v>0.104559</v>
      </c>
      <c r="CL80" s="37">
        <v>0.113755</v>
      </c>
      <c r="CM80" s="37">
        <v>0.124377</v>
      </c>
      <c r="CN80" s="37">
        <v>0.13653699999999999</v>
      </c>
      <c r="CO80" s="37">
        <v>0.149949</v>
      </c>
      <c r="CP80" s="37">
        <v>0.164442</v>
      </c>
      <c r="CQ80" s="37">
        <v>0.17984900000000001</v>
      </c>
      <c r="CR80" s="37">
        <v>0.19600100000000001</v>
      </c>
      <c r="CS80" s="37">
        <v>0.21332499999999999</v>
      </c>
      <c r="CT80" s="37">
        <v>0.231936</v>
      </c>
      <c r="CU80" s="37">
        <v>0.251189</v>
      </c>
      <c r="CV80" s="37">
        <v>0.27044099999999999</v>
      </c>
      <c r="CW80" s="37">
        <v>0.28904800000000003</v>
      </c>
      <c r="CX80" s="37">
        <v>0.30675000000000002</v>
      </c>
      <c r="CY80" s="37">
        <v>0.32397599999999999</v>
      </c>
      <c r="CZ80" s="37">
        <v>0.34111599999999997</v>
      </c>
      <c r="DA80" s="37">
        <v>0.35855999999999999</v>
      </c>
      <c r="DB80" s="37">
        <v>0.37669900000000001</v>
      </c>
      <c r="DC80" s="37">
        <v>0.39688400000000001</v>
      </c>
      <c r="DD80" s="37">
        <v>0.41885499999999998</v>
      </c>
      <c r="DE80" s="37">
        <v>0.440585</v>
      </c>
      <c r="DF80" s="37">
        <v>0.46004299999999998</v>
      </c>
      <c r="DG80" s="37">
        <v>0.47520000000000001</v>
      </c>
      <c r="DH80" s="37">
        <v>0.48566999999999999</v>
      </c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</row>
    <row r="81" spans="1:130">
      <c r="A81" s="2" t="s">
        <v>204</v>
      </c>
      <c r="B81" s="4" t="s">
        <v>143</v>
      </c>
      <c r="C81" s="2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>
        <v>5.9000000000000003E-4</v>
      </c>
      <c r="S81" s="11">
        <v>7.1000000000000002E-4</v>
      </c>
      <c r="T81" s="11">
        <v>8.1999999999999998E-4</v>
      </c>
      <c r="U81" s="11">
        <v>9.3000000000000005E-4</v>
      </c>
      <c r="V81" s="11">
        <v>1.0200000000000001E-3</v>
      </c>
      <c r="W81" s="11">
        <v>1.08E-3</v>
      </c>
      <c r="X81" s="11">
        <v>1.15E-3</v>
      </c>
      <c r="Y81" s="11">
        <v>1.2199999999999999E-3</v>
      </c>
      <c r="Z81" s="11">
        <v>1.2700000000000001E-3</v>
      </c>
      <c r="AA81" s="11">
        <v>1.2800000000000001E-3</v>
      </c>
      <c r="AB81" s="11">
        <v>1.2700000000000001E-3</v>
      </c>
      <c r="AC81" s="11">
        <v>1.2600000000000001E-3</v>
      </c>
      <c r="AD81" s="11">
        <v>1.25E-3</v>
      </c>
      <c r="AE81" s="11">
        <v>1.2600000000000001E-3</v>
      </c>
      <c r="AF81" s="11">
        <v>1.2999999999999999E-3</v>
      </c>
      <c r="AG81" s="11">
        <v>1.3600000000000001E-3</v>
      </c>
      <c r="AH81" s="11">
        <v>1.4300000000000001E-3</v>
      </c>
      <c r="AI81" s="11">
        <v>1.5100000000000001E-3</v>
      </c>
      <c r="AJ81" s="11">
        <v>1.6000000000000001E-3</v>
      </c>
      <c r="AK81" s="11">
        <v>1.6999999999999999E-3</v>
      </c>
      <c r="AL81" s="11">
        <v>1.81E-3</v>
      </c>
      <c r="AM81" s="11">
        <v>1.9400000000000001E-3</v>
      </c>
      <c r="AN81" s="11">
        <v>2.0899999999999998E-3</v>
      </c>
      <c r="AO81" s="11">
        <v>2.2799999999999999E-3</v>
      </c>
      <c r="AP81" s="11">
        <v>2.49E-3</v>
      </c>
      <c r="AQ81" s="11">
        <v>2.7299999999999998E-3</v>
      </c>
      <c r="AR81" s="11">
        <v>3.0000000000000001E-3</v>
      </c>
      <c r="AS81" s="11">
        <v>3.3E-3</v>
      </c>
      <c r="AT81" s="11">
        <v>3.62E-3</v>
      </c>
      <c r="AU81" s="11">
        <v>3.9699999999999996E-3</v>
      </c>
      <c r="AV81" s="11">
        <v>4.3499999999999997E-3</v>
      </c>
      <c r="AW81" s="11">
        <v>4.7600000000000003E-3</v>
      </c>
      <c r="AX81" s="11">
        <v>5.2100000000000002E-3</v>
      </c>
      <c r="AY81" s="11">
        <v>5.7299999999999999E-3</v>
      </c>
      <c r="AZ81" s="11">
        <v>6.3299999999999997E-3</v>
      </c>
      <c r="BA81" s="11">
        <v>7.0000000000000001E-3</v>
      </c>
      <c r="BB81" s="11">
        <v>7.7400000000000004E-3</v>
      </c>
      <c r="BC81" s="11">
        <v>8.5199999999999998E-3</v>
      </c>
      <c r="BD81" s="11">
        <v>9.2899999999999996E-3</v>
      </c>
      <c r="BE81" s="11">
        <v>1.005E-2</v>
      </c>
      <c r="BF81" s="11">
        <v>1.082E-2</v>
      </c>
      <c r="BG81" s="11">
        <v>1.1610000000000001E-2</v>
      </c>
      <c r="BH81" s="11">
        <v>1.2489999999999999E-2</v>
      </c>
      <c r="BI81" s="11">
        <v>1.3520000000000001E-2</v>
      </c>
      <c r="BJ81" s="11">
        <v>1.473E-2</v>
      </c>
      <c r="BK81" s="11">
        <v>1.6109999999999999E-2</v>
      </c>
      <c r="BL81" s="11">
        <v>1.7610000000000001E-2</v>
      </c>
      <c r="BM81" s="11">
        <v>1.917E-2</v>
      </c>
      <c r="BN81" s="11">
        <v>2.0820000000000002E-2</v>
      </c>
      <c r="BO81" s="11">
        <v>2.2519999999999998E-2</v>
      </c>
      <c r="BP81" s="11">
        <v>2.4309999999999998E-2</v>
      </c>
      <c r="BQ81" s="11">
        <v>2.622E-2</v>
      </c>
      <c r="BR81" s="11">
        <v>2.828E-2</v>
      </c>
      <c r="BS81" s="11">
        <v>3.0530000000000002E-2</v>
      </c>
      <c r="BT81" s="11">
        <v>3.3009999999999998E-2</v>
      </c>
      <c r="BU81" s="11">
        <v>3.5729999999999998E-2</v>
      </c>
      <c r="BV81" s="11">
        <v>3.866E-2</v>
      </c>
      <c r="BW81" s="11">
        <v>4.1820000000000003E-2</v>
      </c>
      <c r="BX81" s="11">
        <v>4.53E-2</v>
      </c>
      <c r="BY81" s="11">
        <v>4.9149999999999999E-2</v>
      </c>
      <c r="BZ81" s="11">
        <v>5.3420000000000002E-2</v>
      </c>
      <c r="CA81" s="11">
        <v>5.799E-2</v>
      </c>
      <c r="CB81" s="11">
        <v>6.2960000000000002E-2</v>
      </c>
      <c r="CC81" s="11">
        <v>6.8669999999999995E-2</v>
      </c>
      <c r="CD81" s="11">
        <v>7.535E-2</v>
      </c>
      <c r="CE81" s="11">
        <v>8.3019999999999997E-2</v>
      </c>
      <c r="CF81" s="11">
        <v>9.2079999999999995E-2</v>
      </c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</row>
    <row r="82" spans="1:130">
      <c r="A82" s="2" t="s">
        <v>204</v>
      </c>
      <c r="B82" s="6" t="s">
        <v>150</v>
      </c>
      <c r="C82" s="7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>
        <v>8.7000000000000001E-4</v>
      </c>
      <c r="S82" s="11">
        <v>1E-3</v>
      </c>
      <c r="T82" s="11">
        <v>1.1299999999999999E-3</v>
      </c>
      <c r="U82" s="11">
        <v>1.25E-3</v>
      </c>
      <c r="V82" s="11">
        <v>1.34E-3</v>
      </c>
      <c r="W82" s="11">
        <v>1.41E-3</v>
      </c>
      <c r="X82" s="11">
        <v>1.4599999999999999E-3</v>
      </c>
      <c r="Y82" s="11">
        <v>1.49E-3</v>
      </c>
      <c r="Z82" s="11">
        <v>1.5200000000000001E-3</v>
      </c>
      <c r="AA82" s="11">
        <v>1.5399999999999999E-3</v>
      </c>
      <c r="AB82" s="11">
        <v>1.57E-3</v>
      </c>
      <c r="AC82" s="11">
        <v>1.5900000000000001E-3</v>
      </c>
      <c r="AD82" s="11">
        <v>1.6199999999999999E-3</v>
      </c>
      <c r="AE82" s="11">
        <v>1.66E-3</v>
      </c>
      <c r="AF82" s="11">
        <v>1.6999999999999999E-3</v>
      </c>
      <c r="AG82" s="11">
        <v>1.7600000000000001E-3</v>
      </c>
      <c r="AH82" s="11">
        <v>1.82E-3</v>
      </c>
      <c r="AI82" s="11">
        <v>1.89E-3</v>
      </c>
      <c r="AJ82" s="11">
        <v>1.9599999999999999E-3</v>
      </c>
      <c r="AK82" s="11">
        <v>2.0400000000000001E-3</v>
      </c>
      <c r="AL82" s="11">
        <v>2.14E-3</v>
      </c>
      <c r="AM82" s="11">
        <v>2.2499999999999998E-3</v>
      </c>
      <c r="AN82" s="11">
        <v>2.3900000000000002E-3</v>
      </c>
      <c r="AO82" s="11">
        <v>2.5600000000000002E-3</v>
      </c>
      <c r="AP82" s="11">
        <v>2.7699999999999999E-3</v>
      </c>
      <c r="AQ82" s="11">
        <v>3.0200000000000001E-3</v>
      </c>
      <c r="AR82" s="11">
        <v>3.3E-3</v>
      </c>
      <c r="AS82" s="11">
        <v>3.5999999999999999E-3</v>
      </c>
      <c r="AT82" s="11">
        <v>3.9300000000000003E-3</v>
      </c>
      <c r="AU82" s="11">
        <v>4.28E-3</v>
      </c>
      <c r="AV82" s="11">
        <v>4.6499999999999996E-3</v>
      </c>
      <c r="AW82" s="11">
        <v>5.0600000000000003E-3</v>
      </c>
      <c r="AX82" s="11">
        <v>5.5100000000000001E-3</v>
      </c>
      <c r="AY82" s="11">
        <v>6.0000000000000001E-3</v>
      </c>
      <c r="AZ82" s="11">
        <v>6.5500000000000003E-3</v>
      </c>
      <c r="BA82" s="11">
        <v>7.1599999999999997E-3</v>
      </c>
      <c r="BB82" s="11">
        <v>7.8399999999999997E-3</v>
      </c>
      <c r="BC82" s="11">
        <v>8.6E-3</v>
      </c>
      <c r="BD82" s="11">
        <v>9.4400000000000005E-3</v>
      </c>
      <c r="BE82" s="11">
        <v>1.0370000000000001E-2</v>
      </c>
      <c r="BF82" s="11">
        <v>1.141E-2</v>
      </c>
      <c r="BG82" s="11">
        <v>1.255E-2</v>
      </c>
      <c r="BH82" s="11">
        <v>1.3809999999999999E-2</v>
      </c>
      <c r="BI82" s="11">
        <v>1.52E-2</v>
      </c>
      <c r="BJ82" s="11">
        <v>1.6729999999999998E-2</v>
      </c>
      <c r="BK82" s="11">
        <v>1.839E-2</v>
      </c>
      <c r="BL82" s="11">
        <v>2.0199999999999999E-2</v>
      </c>
      <c r="BM82" s="11">
        <v>2.2169999999999999E-2</v>
      </c>
      <c r="BN82" s="11">
        <v>2.4279999999999999E-2</v>
      </c>
      <c r="BO82" s="11">
        <v>2.656E-2</v>
      </c>
      <c r="BP82" s="11">
        <v>2.904E-2</v>
      </c>
      <c r="BQ82" s="11">
        <v>3.175E-2</v>
      </c>
      <c r="BR82" s="11">
        <v>3.474E-2</v>
      </c>
      <c r="BS82" s="11">
        <v>3.8039999999999997E-2</v>
      </c>
      <c r="BT82" s="11">
        <v>4.1680000000000002E-2</v>
      </c>
      <c r="BU82" s="11">
        <v>4.5609999999999998E-2</v>
      </c>
      <c r="BV82" s="11">
        <v>4.9790000000000001E-2</v>
      </c>
      <c r="BW82" s="11">
        <v>5.4149999999999997E-2</v>
      </c>
      <c r="BX82" s="11">
        <v>5.8650000000000001E-2</v>
      </c>
      <c r="BY82" s="11">
        <v>6.3259999999999997E-2</v>
      </c>
      <c r="BZ82" s="11">
        <v>6.812E-2</v>
      </c>
      <c r="CA82" s="11">
        <v>7.3370000000000005E-2</v>
      </c>
      <c r="CB82" s="11">
        <v>7.918E-2</v>
      </c>
      <c r="CC82" s="11">
        <v>8.5699999999999998E-2</v>
      </c>
      <c r="CD82" s="11">
        <v>9.3060000000000004E-2</v>
      </c>
      <c r="CE82" s="11">
        <v>0.10119</v>
      </c>
      <c r="CF82" s="11">
        <v>0.10997999999999999</v>
      </c>
      <c r="CG82" s="11">
        <v>0.11935</v>
      </c>
      <c r="CH82" s="11">
        <v>0.12917000000000001</v>
      </c>
      <c r="CI82" s="11">
        <v>0.13938</v>
      </c>
      <c r="CJ82" s="11">
        <v>0.15001</v>
      </c>
      <c r="CK82" s="11">
        <v>0.16114000000000001</v>
      </c>
      <c r="CL82" s="11">
        <v>0.17282</v>
      </c>
      <c r="CM82" s="11">
        <v>0.18512999999999999</v>
      </c>
      <c r="CN82" s="11">
        <v>0.19825000000000001</v>
      </c>
      <c r="CO82" s="11">
        <v>0.21246000000000001</v>
      </c>
      <c r="CP82" s="11">
        <v>0.22814000000000001</v>
      </c>
      <c r="CQ82" s="11">
        <v>0.24576999999999999</v>
      </c>
      <c r="CR82" s="11">
        <v>0.26593</v>
      </c>
      <c r="CS82" s="11">
        <v>0.2893</v>
      </c>
      <c r="CT82" s="11">
        <v>0.31666</v>
      </c>
      <c r="CU82" s="11">
        <v>0.35124</v>
      </c>
      <c r="CV82" s="11">
        <v>0.40056000000000003</v>
      </c>
      <c r="CW82" s="11">
        <v>0.48842000000000002</v>
      </c>
      <c r="CX82" s="11">
        <v>0.66815000000000002</v>
      </c>
      <c r="CY82" s="11">
        <v>1</v>
      </c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5"/>
      <c r="DM82" s="15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</row>
  </sheetData>
  <phoneticPr fontId="0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DZ17"/>
  <sheetViews>
    <sheetView workbookViewId="0">
      <selection activeCell="B2" sqref="B2"/>
    </sheetView>
  </sheetViews>
  <sheetFormatPr defaultRowHeight="15"/>
  <cols>
    <col min="1" max="1" width="25.5703125" style="1" customWidth="1"/>
    <col min="2" max="2" width="30" style="1" bestFit="1" customWidth="1"/>
    <col min="3" max="3" width="17.5703125" style="1" customWidth="1"/>
    <col min="4" max="84" width="11.5703125" style="1" bestFit="1" customWidth="1"/>
    <col min="85" max="124" width="10.5703125" style="1" bestFit="1" customWidth="1"/>
    <col min="125" max="130" width="10" style="1" bestFit="1" customWidth="1"/>
    <col min="131" max="16384" width="9.140625" style="1"/>
  </cols>
  <sheetData>
    <row r="2" spans="1:130" ht="18.75">
      <c r="A2" s="34"/>
      <c r="B2" s="34" t="s">
        <v>220</v>
      </c>
    </row>
    <row r="4" spans="1:130">
      <c r="A4" s="2" t="s">
        <v>193</v>
      </c>
      <c r="B4" s="2" t="s">
        <v>1</v>
      </c>
      <c r="C4" s="2" t="s">
        <v>2</v>
      </c>
      <c r="D4" s="3">
        <v>0</v>
      </c>
      <c r="E4" s="3">
        <f t="shared" ref="E4:AJ4" si="0">D4+1</f>
        <v>1</v>
      </c>
      <c r="F4" s="3">
        <f t="shared" si="0"/>
        <v>2</v>
      </c>
      <c r="G4" s="3">
        <f t="shared" si="0"/>
        <v>3</v>
      </c>
      <c r="H4" s="3">
        <f t="shared" si="0"/>
        <v>4</v>
      </c>
      <c r="I4" s="3">
        <f t="shared" si="0"/>
        <v>5</v>
      </c>
      <c r="J4" s="3">
        <f t="shared" si="0"/>
        <v>6</v>
      </c>
      <c r="K4" s="3">
        <f t="shared" si="0"/>
        <v>7</v>
      </c>
      <c r="L4" s="3">
        <f t="shared" si="0"/>
        <v>8</v>
      </c>
      <c r="M4" s="3">
        <f t="shared" si="0"/>
        <v>9</v>
      </c>
      <c r="N4" s="3">
        <f t="shared" si="0"/>
        <v>10</v>
      </c>
      <c r="O4" s="3">
        <f t="shared" si="0"/>
        <v>11</v>
      </c>
      <c r="P4" s="3">
        <f t="shared" si="0"/>
        <v>12</v>
      </c>
      <c r="Q4" s="3">
        <f t="shared" si="0"/>
        <v>13</v>
      </c>
      <c r="R4" s="3">
        <f t="shared" si="0"/>
        <v>14</v>
      </c>
      <c r="S4" s="3">
        <f t="shared" si="0"/>
        <v>15</v>
      </c>
      <c r="T4" s="3">
        <f t="shared" si="0"/>
        <v>16</v>
      </c>
      <c r="U4" s="3">
        <f t="shared" si="0"/>
        <v>17</v>
      </c>
      <c r="V4" s="3">
        <f t="shared" si="0"/>
        <v>18</v>
      </c>
      <c r="W4" s="3">
        <f t="shared" si="0"/>
        <v>19</v>
      </c>
      <c r="X4" s="3">
        <f t="shared" si="0"/>
        <v>20</v>
      </c>
      <c r="Y4" s="3">
        <f t="shared" si="0"/>
        <v>21</v>
      </c>
      <c r="Z4" s="3">
        <f t="shared" si="0"/>
        <v>22</v>
      </c>
      <c r="AA4" s="3">
        <f t="shared" si="0"/>
        <v>23</v>
      </c>
      <c r="AB4" s="3">
        <f t="shared" si="0"/>
        <v>24</v>
      </c>
      <c r="AC4" s="3">
        <f t="shared" si="0"/>
        <v>25</v>
      </c>
      <c r="AD4" s="3">
        <f t="shared" si="0"/>
        <v>26</v>
      </c>
      <c r="AE4" s="3">
        <f t="shared" si="0"/>
        <v>27</v>
      </c>
      <c r="AF4" s="3">
        <f t="shared" si="0"/>
        <v>28</v>
      </c>
      <c r="AG4" s="3">
        <f t="shared" si="0"/>
        <v>29</v>
      </c>
      <c r="AH4" s="3">
        <f t="shared" si="0"/>
        <v>30</v>
      </c>
      <c r="AI4" s="3">
        <f t="shared" si="0"/>
        <v>31</v>
      </c>
      <c r="AJ4" s="3">
        <f t="shared" si="0"/>
        <v>32</v>
      </c>
      <c r="AK4" s="3">
        <f t="shared" ref="AK4:BP4" si="1">AJ4+1</f>
        <v>33</v>
      </c>
      <c r="AL4" s="3">
        <f t="shared" si="1"/>
        <v>34</v>
      </c>
      <c r="AM4" s="3">
        <f t="shared" si="1"/>
        <v>35</v>
      </c>
      <c r="AN4" s="3">
        <f t="shared" si="1"/>
        <v>36</v>
      </c>
      <c r="AO4" s="3">
        <f t="shared" si="1"/>
        <v>37</v>
      </c>
      <c r="AP4" s="3">
        <f t="shared" si="1"/>
        <v>38</v>
      </c>
      <c r="AQ4" s="3">
        <f t="shared" si="1"/>
        <v>39</v>
      </c>
      <c r="AR4" s="3">
        <f t="shared" si="1"/>
        <v>40</v>
      </c>
      <c r="AS4" s="3">
        <f t="shared" si="1"/>
        <v>41</v>
      </c>
      <c r="AT4" s="3">
        <f t="shared" si="1"/>
        <v>42</v>
      </c>
      <c r="AU4" s="3">
        <f t="shared" si="1"/>
        <v>43</v>
      </c>
      <c r="AV4" s="3">
        <f t="shared" si="1"/>
        <v>44</v>
      </c>
      <c r="AW4" s="3">
        <f t="shared" si="1"/>
        <v>45</v>
      </c>
      <c r="AX4" s="3">
        <f t="shared" si="1"/>
        <v>46</v>
      </c>
      <c r="AY4" s="3">
        <f t="shared" si="1"/>
        <v>47</v>
      </c>
      <c r="AZ4" s="3">
        <f t="shared" si="1"/>
        <v>48</v>
      </c>
      <c r="BA4" s="3">
        <f t="shared" si="1"/>
        <v>49</v>
      </c>
      <c r="BB4" s="3">
        <f t="shared" si="1"/>
        <v>50</v>
      </c>
      <c r="BC4" s="3">
        <f t="shared" si="1"/>
        <v>51</v>
      </c>
      <c r="BD4" s="3">
        <f t="shared" si="1"/>
        <v>52</v>
      </c>
      <c r="BE4" s="3">
        <f t="shared" si="1"/>
        <v>53</v>
      </c>
      <c r="BF4" s="3">
        <f t="shared" si="1"/>
        <v>54</v>
      </c>
      <c r="BG4" s="3">
        <f t="shared" si="1"/>
        <v>55</v>
      </c>
      <c r="BH4" s="3">
        <f t="shared" si="1"/>
        <v>56</v>
      </c>
      <c r="BI4" s="3">
        <f t="shared" si="1"/>
        <v>57</v>
      </c>
      <c r="BJ4" s="3">
        <f t="shared" si="1"/>
        <v>58</v>
      </c>
      <c r="BK4" s="3">
        <f t="shared" si="1"/>
        <v>59</v>
      </c>
      <c r="BL4" s="3">
        <f t="shared" si="1"/>
        <v>60</v>
      </c>
      <c r="BM4" s="3">
        <f t="shared" si="1"/>
        <v>61</v>
      </c>
      <c r="BN4" s="3">
        <f t="shared" si="1"/>
        <v>62</v>
      </c>
      <c r="BO4" s="3">
        <f t="shared" si="1"/>
        <v>63</v>
      </c>
      <c r="BP4" s="3">
        <f t="shared" si="1"/>
        <v>64</v>
      </c>
      <c r="BQ4" s="3">
        <f t="shared" ref="BQ4:CV4" si="2">BP4+1</f>
        <v>65</v>
      </c>
      <c r="BR4" s="3">
        <f t="shared" si="2"/>
        <v>66</v>
      </c>
      <c r="BS4" s="3">
        <f t="shared" si="2"/>
        <v>67</v>
      </c>
      <c r="BT4" s="3">
        <f t="shared" si="2"/>
        <v>68</v>
      </c>
      <c r="BU4" s="3">
        <f t="shared" si="2"/>
        <v>69</v>
      </c>
      <c r="BV4" s="3">
        <f t="shared" si="2"/>
        <v>70</v>
      </c>
      <c r="BW4" s="3">
        <f t="shared" si="2"/>
        <v>71</v>
      </c>
      <c r="BX4" s="3">
        <f t="shared" si="2"/>
        <v>72</v>
      </c>
      <c r="BY4" s="3">
        <f t="shared" si="2"/>
        <v>73</v>
      </c>
      <c r="BZ4" s="3">
        <f t="shared" si="2"/>
        <v>74</v>
      </c>
      <c r="CA4" s="3">
        <f t="shared" si="2"/>
        <v>75</v>
      </c>
      <c r="CB4" s="3">
        <f t="shared" si="2"/>
        <v>76</v>
      </c>
      <c r="CC4" s="3">
        <f t="shared" si="2"/>
        <v>77</v>
      </c>
      <c r="CD4" s="3">
        <f t="shared" si="2"/>
        <v>78</v>
      </c>
      <c r="CE4" s="3">
        <f t="shared" si="2"/>
        <v>79</v>
      </c>
      <c r="CF4" s="3">
        <f t="shared" si="2"/>
        <v>80</v>
      </c>
      <c r="CG4" s="3">
        <f t="shared" si="2"/>
        <v>81</v>
      </c>
      <c r="CH4" s="3">
        <f t="shared" si="2"/>
        <v>82</v>
      </c>
      <c r="CI4" s="3">
        <f t="shared" si="2"/>
        <v>83</v>
      </c>
      <c r="CJ4" s="3">
        <f t="shared" si="2"/>
        <v>84</v>
      </c>
      <c r="CK4" s="3">
        <f t="shared" si="2"/>
        <v>85</v>
      </c>
      <c r="CL4" s="3">
        <f t="shared" si="2"/>
        <v>86</v>
      </c>
      <c r="CM4" s="3">
        <f t="shared" si="2"/>
        <v>87</v>
      </c>
      <c r="CN4" s="3">
        <f t="shared" si="2"/>
        <v>88</v>
      </c>
      <c r="CO4" s="3">
        <f t="shared" si="2"/>
        <v>89</v>
      </c>
      <c r="CP4" s="3">
        <f t="shared" si="2"/>
        <v>90</v>
      </c>
      <c r="CQ4" s="3">
        <f t="shared" si="2"/>
        <v>91</v>
      </c>
      <c r="CR4" s="3">
        <f t="shared" si="2"/>
        <v>92</v>
      </c>
      <c r="CS4" s="3">
        <f t="shared" si="2"/>
        <v>93</v>
      </c>
      <c r="CT4" s="3">
        <f t="shared" si="2"/>
        <v>94</v>
      </c>
      <c r="CU4" s="3">
        <f t="shared" si="2"/>
        <v>95</v>
      </c>
      <c r="CV4" s="3">
        <f t="shared" si="2"/>
        <v>96</v>
      </c>
      <c r="CW4" s="3">
        <f t="shared" ref="CW4:DZ4" si="3">CV4+1</f>
        <v>97</v>
      </c>
      <c r="CX4" s="3">
        <f t="shared" si="3"/>
        <v>98</v>
      </c>
      <c r="CY4" s="3">
        <f t="shared" si="3"/>
        <v>99</v>
      </c>
      <c r="CZ4" s="3">
        <f t="shared" si="3"/>
        <v>100</v>
      </c>
      <c r="DA4" s="3">
        <f t="shared" si="3"/>
        <v>101</v>
      </c>
      <c r="DB4" s="3">
        <f t="shared" si="3"/>
        <v>102</v>
      </c>
      <c r="DC4" s="3">
        <f t="shared" si="3"/>
        <v>103</v>
      </c>
      <c r="DD4" s="3">
        <f t="shared" si="3"/>
        <v>104</v>
      </c>
      <c r="DE4" s="3">
        <f t="shared" si="3"/>
        <v>105</v>
      </c>
      <c r="DF4" s="3">
        <f t="shared" si="3"/>
        <v>106</v>
      </c>
      <c r="DG4" s="3">
        <f t="shared" si="3"/>
        <v>107</v>
      </c>
      <c r="DH4" s="3">
        <f t="shared" si="3"/>
        <v>108</v>
      </c>
      <c r="DI4" s="3">
        <f t="shared" si="3"/>
        <v>109</v>
      </c>
      <c r="DJ4" s="3">
        <f t="shared" si="3"/>
        <v>110</v>
      </c>
      <c r="DK4" s="3">
        <f t="shared" si="3"/>
        <v>111</v>
      </c>
      <c r="DL4" s="3">
        <f t="shared" si="3"/>
        <v>112</v>
      </c>
      <c r="DM4" s="3">
        <f t="shared" si="3"/>
        <v>113</v>
      </c>
      <c r="DN4" s="3">
        <f t="shared" si="3"/>
        <v>114</v>
      </c>
      <c r="DO4" s="3">
        <f t="shared" si="3"/>
        <v>115</v>
      </c>
      <c r="DP4" s="3">
        <f t="shared" si="3"/>
        <v>116</v>
      </c>
      <c r="DQ4" s="3">
        <f t="shared" si="3"/>
        <v>117</v>
      </c>
      <c r="DR4" s="3">
        <f t="shared" si="3"/>
        <v>118</v>
      </c>
      <c r="DS4" s="3">
        <f t="shared" si="3"/>
        <v>119</v>
      </c>
      <c r="DT4" s="3">
        <f t="shared" si="3"/>
        <v>120</v>
      </c>
      <c r="DU4" s="3">
        <f t="shared" si="3"/>
        <v>121</v>
      </c>
      <c r="DV4" s="3">
        <f t="shared" si="3"/>
        <v>122</v>
      </c>
      <c r="DW4" s="3">
        <f t="shared" si="3"/>
        <v>123</v>
      </c>
      <c r="DX4" s="3">
        <f t="shared" si="3"/>
        <v>124</v>
      </c>
      <c r="DY4" s="3">
        <f t="shared" si="3"/>
        <v>125</v>
      </c>
      <c r="DZ4" s="3">
        <f t="shared" si="3"/>
        <v>126</v>
      </c>
    </row>
    <row r="5" spans="1:130">
      <c r="A5" s="2" t="s">
        <v>203</v>
      </c>
      <c r="B5" s="4" t="s">
        <v>155</v>
      </c>
      <c r="C5" s="2"/>
      <c r="D5" s="12">
        <v>0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0.10440000000000001</v>
      </c>
      <c r="Y5" s="12">
        <v>0.10050000000000001</v>
      </c>
      <c r="Z5" s="12">
        <v>9.6600000000000005E-2</v>
      </c>
      <c r="AA5" s="12">
        <v>9.2700000000000005E-2</v>
      </c>
      <c r="AB5" s="12">
        <v>8.8800000000000004E-2</v>
      </c>
      <c r="AC5" s="12">
        <v>8.4900000000000003E-2</v>
      </c>
      <c r="AD5" s="12">
        <v>8.1000000000000003E-2</v>
      </c>
      <c r="AE5" s="12">
        <v>7.6899999999999996E-2</v>
      </c>
      <c r="AF5" s="12">
        <v>7.2900000000000006E-2</v>
      </c>
      <c r="AG5" s="12">
        <v>6.9099999999999995E-2</v>
      </c>
      <c r="AH5" s="12">
        <v>6.6699999999999995E-2</v>
      </c>
      <c r="AI5" s="12">
        <v>6.5199999999999994E-2</v>
      </c>
      <c r="AJ5" s="12">
        <v>6.4199999999999993E-2</v>
      </c>
      <c r="AK5" s="12">
        <v>6.3299999999999995E-2</v>
      </c>
      <c r="AL5" s="12">
        <v>6.2399999999999997E-2</v>
      </c>
      <c r="AM5" s="12">
        <v>6.1600000000000002E-2</v>
      </c>
      <c r="AN5" s="12">
        <v>6.0499999999999998E-2</v>
      </c>
      <c r="AO5" s="12">
        <v>5.9299999999999999E-2</v>
      </c>
      <c r="AP5" s="12">
        <v>5.7799999999999997E-2</v>
      </c>
      <c r="AQ5" s="12">
        <v>5.7200000000000001E-2</v>
      </c>
      <c r="AR5" s="12">
        <v>5.5800000000000002E-2</v>
      </c>
      <c r="AS5" s="12">
        <v>5.5100000000000003E-2</v>
      </c>
      <c r="AT5" s="12">
        <v>5.5399999999999998E-2</v>
      </c>
      <c r="AU5" s="12">
        <v>5.3600000000000002E-2</v>
      </c>
      <c r="AV5" s="12">
        <v>5.2400000000000002E-2</v>
      </c>
      <c r="AW5" s="12">
        <v>5.16E-2</v>
      </c>
      <c r="AX5" s="12">
        <v>5.0700000000000002E-2</v>
      </c>
      <c r="AY5" s="12">
        <v>4.9500000000000002E-2</v>
      </c>
      <c r="AZ5" s="12">
        <v>4.9299999999999997E-2</v>
      </c>
      <c r="BA5" s="12">
        <v>4.9200000000000001E-2</v>
      </c>
      <c r="BB5" s="12">
        <v>4.9000000000000002E-2</v>
      </c>
      <c r="BC5" s="12">
        <v>4.8399999999999999E-2</v>
      </c>
      <c r="BD5" s="12">
        <v>4.8300000000000003E-2</v>
      </c>
      <c r="BE5" s="12">
        <v>4.7399999999999998E-2</v>
      </c>
      <c r="BF5" s="12">
        <v>4.7100000000000003E-2</v>
      </c>
      <c r="BG5" s="12">
        <v>4.7E-2</v>
      </c>
      <c r="BH5" s="12">
        <v>4.7E-2</v>
      </c>
      <c r="BI5" s="12">
        <v>4.7199999999999999E-2</v>
      </c>
      <c r="BJ5" s="12">
        <v>4.7899999999999998E-2</v>
      </c>
      <c r="BK5" s="12">
        <v>4.8599999999999997E-2</v>
      </c>
      <c r="BL5" s="12">
        <v>4.9799999999999997E-2</v>
      </c>
      <c r="BM5" s="12">
        <v>5.0900000000000001E-2</v>
      </c>
      <c r="BN5" s="12">
        <v>5.3100000000000001E-2</v>
      </c>
      <c r="BO5" s="12">
        <v>5.5E-2</v>
      </c>
      <c r="BP5" s="12">
        <v>5.74E-2</v>
      </c>
      <c r="BQ5" s="12">
        <v>5.9400000000000001E-2</v>
      </c>
      <c r="BR5" s="12">
        <v>6.1899999999999997E-2</v>
      </c>
      <c r="BS5" s="12">
        <v>6.4100000000000004E-2</v>
      </c>
      <c r="BT5" s="12">
        <v>6.7199999999999996E-2</v>
      </c>
      <c r="BU5" s="12">
        <v>7.1199999999999999E-2</v>
      </c>
      <c r="BV5" s="12">
        <v>7.5499999999999998E-2</v>
      </c>
      <c r="BW5" s="12">
        <v>8.0699999999999994E-2</v>
      </c>
      <c r="BX5" s="12">
        <v>8.6400000000000005E-2</v>
      </c>
      <c r="BY5" s="12">
        <v>9.4200000000000006E-2</v>
      </c>
      <c r="BZ5" s="12">
        <v>0.1014</v>
      </c>
      <c r="CA5" s="12">
        <v>0.1067</v>
      </c>
      <c r="CB5" s="12">
        <v>0.11405</v>
      </c>
      <c r="CC5" s="12">
        <v>0.12238</v>
      </c>
      <c r="CD5" s="12">
        <v>0.13189000000000001</v>
      </c>
      <c r="CE5" s="12">
        <v>0.14230000000000001</v>
      </c>
      <c r="CF5" s="12">
        <v>0.156</v>
      </c>
      <c r="CG5" s="12">
        <v>0.17136999999999999</v>
      </c>
      <c r="CH5" s="12">
        <v>0.18711</v>
      </c>
      <c r="CI5" s="12">
        <v>0.20057</v>
      </c>
      <c r="CJ5" s="12">
        <v>0.21224000000000001</v>
      </c>
      <c r="CK5" s="12">
        <v>0.22314999999999999</v>
      </c>
      <c r="CL5" s="12">
        <v>0.22913</v>
      </c>
      <c r="CM5" s="12">
        <v>0.23607</v>
      </c>
      <c r="CN5" s="12">
        <v>0.24451000000000001</v>
      </c>
      <c r="CO5" s="12">
        <v>0.25774000000000002</v>
      </c>
      <c r="CP5" s="12">
        <v>0.32373000000000002</v>
      </c>
      <c r="CQ5" s="12">
        <v>0.36098999999999998</v>
      </c>
      <c r="CR5" s="12">
        <v>0.40526000000000001</v>
      </c>
      <c r="CS5" s="12">
        <v>0.45723000000000003</v>
      </c>
      <c r="CT5" s="12">
        <v>0.51629999999999998</v>
      </c>
      <c r="CU5" s="12">
        <v>0.58426999999999996</v>
      </c>
      <c r="CV5" s="12">
        <v>0.64863999999999999</v>
      </c>
      <c r="CW5" s="12">
        <v>0.69230999999999998</v>
      </c>
      <c r="CX5" s="12">
        <v>0.75</v>
      </c>
      <c r="CY5" s="12">
        <v>0.75</v>
      </c>
      <c r="CZ5" s="12">
        <v>0.75</v>
      </c>
      <c r="DA5" s="12">
        <v>0.75</v>
      </c>
      <c r="DB5" s="12">
        <v>0.75</v>
      </c>
      <c r="DC5" s="12">
        <v>0.75</v>
      </c>
      <c r="DD5" s="12">
        <v>0.75</v>
      </c>
      <c r="DE5" s="12">
        <v>0.75</v>
      </c>
      <c r="DF5" s="12">
        <v>0.75</v>
      </c>
      <c r="DG5" s="12">
        <v>0.75</v>
      </c>
      <c r="DH5" s="12">
        <v>0.75</v>
      </c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</row>
    <row r="6" spans="1:130">
      <c r="A6" s="2" t="s">
        <v>203</v>
      </c>
      <c r="B6" s="4" t="s">
        <v>164</v>
      </c>
      <c r="C6" s="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>
        <v>0.17968562167659996</v>
      </c>
      <c r="S6" s="12">
        <v>0.17456626901661509</v>
      </c>
      <c r="T6" s="12">
        <v>0.1695775087537662</v>
      </c>
      <c r="U6" s="12">
        <v>0.16471779391802965</v>
      </c>
      <c r="V6" s="12">
        <v>0.15998558632914994</v>
      </c>
      <c r="W6" s="12">
        <v>0.15537936316970014</v>
      </c>
      <c r="X6" s="12">
        <v>0.15089762343661328</v>
      </c>
      <c r="Y6" s="12">
        <v>0.1465388942936291</v>
      </c>
      <c r="Z6" s="12">
        <v>0.14230173734519325</v>
      </c>
      <c r="AA6" s="12">
        <v>0.13818475484165305</v>
      </c>
      <c r="AB6" s="12">
        <v>0.13418659585210613</v>
      </c>
      <c r="AC6" s="12">
        <v>0.13030596240218439</v>
      </c>
      <c r="AD6" s="12">
        <v>0.1265416156201874</v>
      </c>
      <c r="AE6" s="12">
        <v>0.12289238189349483</v>
      </c>
      <c r="AF6" s="12">
        <v>0.11935715907087763</v>
      </c>
      <c r="AG6" s="12">
        <v>0.11593492273023254</v>
      </c>
      <c r="AH6" s="12">
        <v>0.11262473252234562</v>
      </c>
      <c r="AI6" s="12">
        <v>0.10942573863383698</v>
      </c>
      <c r="AJ6" s="12">
        <v>0.10633718837674888</v>
      </c>
      <c r="AK6" s="12">
        <v>0.10335843293944258</v>
      </c>
      <c r="AL6" s="12">
        <v>0.10048893431668593</v>
      </c>
      <c r="AM6" s="12">
        <v>9.772827244574922E-2</v>
      </c>
      <c r="AN6" s="12">
        <v>9.5076152580871653E-2</v>
      </c>
      <c r="AO6" s="12">
        <v>9.2532412923418073E-2</v>
      </c>
      <c r="AP6" s="12">
        <v>9.0097032538020927E-2</v>
      </c>
      <c r="AQ6" s="12">
        <v>8.7770139577122652E-2</v>
      </c>
      <c r="AR6" s="12">
        <v>8.5552019856370842E-2</v>
      </c>
      <c r="AS6" s="12">
        <v>8.3443125786952677E-2</v>
      </c>
      <c r="AT6" s="12">
        <v>8.144408570203765E-2</v>
      </c>
      <c r="AU6" s="12">
        <v>7.9555713610648393E-2</v>
      </c>
      <c r="AV6" s="12">
        <v>7.7779017441578446E-2</v>
      </c>
      <c r="AW6" s="12">
        <v>7.6115221451391823E-2</v>
      </c>
      <c r="AX6" s="12">
        <v>7.4565748046657165E-2</v>
      </c>
      <c r="AY6" s="12">
        <v>7.3132268631731501E-2</v>
      </c>
      <c r="AZ6" s="12">
        <v>7.1816686489459491E-2</v>
      </c>
      <c r="BA6" s="12">
        <v>7.0621161347231842E-2</v>
      </c>
      <c r="BB6" s="12">
        <v>6.954812082969819E-2</v>
      </c>
      <c r="BC6" s="12">
        <v>6.8600274477615741E-2</v>
      </c>
      <c r="BD6" s="12">
        <v>6.7780628380976649E-2</v>
      </c>
      <c r="BE6" s="12">
        <v>6.7092500455324E-2</v>
      </c>
      <c r="BF6" s="12">
        <v>6.6539536363065865E-2</v>
      </c>
      <c r="BG6" s="12">
        <v>6.6125726003312457E-2</v>
      </c>
      <c r="BH6" s="12">
        <v>6.5855420764034944E-2</v>
      </c>
      <c r="BI6" s="12">
        <v>6.5733351249885774E-2</v>
      </c>
      <c r="BJ6" s="12">
        <v>6.576464568194873E-2</v>
      </c>
      <c r="BK6" s="12">
        <v>6.5954848826281776E-2</v>
      </c>
      <c r="BL6" s="12">
        <v>6.6309941431690111E-2</v>
      </c>
      <c r="BM6" s="12">
        <v>6.6836360112178417E-2</v>
      </c>
      <c r="BN6" s="12">
        <v>6.7541017593995889E-2</v>
      </c>
      <c r="BO6" s="12">
        <v>6.8431323209052652E-2</v>
      </c>
      <c r="BP6" s="12">
        <v>6.9515203602553921E-2</v>
      </c>
      <c r="BQ6" s="12">
        <v>7.080112332606503E-2</v>
      </c>
      <c r="BR6" s="12">
        <v>7.2298105349981934E-2</v>
      </c>
      <c r="BS6" s="12">
        <v>7.4015751154742682E-2</v>
      </c>
      <c r="BT6" s="12">
        <v>7.5964260194129829E-2</v>
      </c>
      <c r="BU6" s="12">
        <v>7.8154448453127467E-2</v>
      </c>
      <c r="BV6" s="12">
        <v>8.0597765755191175E-2</v>
      </c>
      <c r="BW6" s="12">
        <v>8.3306311452687631E-2</v>
      </c>
      <c r="BX6" s="12">
        <v>8.6292848045035564E-2</v>
      </c>
      <c r="BY6" s="12">
        <v>8.9570812233812358E-2</v>
      </c>
      <c r="BZ6" s="12">
        <v>9.3154322834930414E-2</v>
      </c>
      <c r="CA6" s="12">
        <v>9.7058184916869572E-2</v>
      </c>
      <c r="CB6" s="12">
        <v>0.10129788940899342</v>
      </c>
      <c r="CC6" s="12">
        <v>0.10588960739513142</v>
      </c>
      <c r="CD6" s="12">
        <v>0.11085017813494402</v>
      </c>
      <c r="CE6" s="12">
        <v>0.11619708986169253</v>
      </c>
      <c r="CF6" s="12">
        <v>0.12194845216356431</v>
      </c>
      <c r="CG6" s="12">
        <v>0.12812295876556579</v>
      </c>
      <c r="CH6" s="12">
        <v>0.13473983934920186</v>
      </c>
      <c r="CI6" s="12">
        <v>0.1418187989427151</v>
      </c>
      <c r="CJ6" s="12">
        <v>0.14937994332386884</v>
      </c>
      <c r="CK6" s="12">
        <v>0.15744368871875258</v>
      </c>
      <c r="CL6" s="12">
        <v>0.16603065407425277</v>
      </c>
      <c r="CM6" s="12">
        <v>0.17516153396823142</v>
      </c>
      <c r="CN6" s="12">
        <v>0.1848569502767673</v>
      </c>
      <c r="CO6" s="12">
        <v>0.19513728063638802</v>
      </c>
      <c r="CP6" s="12">
        <v>0.20602246169809202</v>
      </c>
      <c r="CQ6" s="12">
        <v>0.21753176531148499</v>
      </c>
      <c r="CR6" s="12">
        <v>0.22968354586480078</v>
      </c>
      <c r="CS6" s="12">
        <v>0.24249495704257618</v>
      </c>
      <c r="CT6" s="12">
        <v>0.25598163691386633</v>
      </c>
      <c r="CU6" s="12">
        <v>0.27015736014223424</v>
      </c>
      <c r="CV6" s="12">
        <v>0.28503365711643092</v>
      </c>
      <c r="CW6" s="12">
        <v>0.30061940014497202</v>
      </c>
      <c r="CX6" s="12">
        <v>0.31692035770321814</v>
      </c>
      <c r="CY6" s="12">
        <v>0.33393871926916496</v>
      </c>
      <c r="CZ6" s="12">
        <v>0.35167259294066056</v>
      </c>
      <c r="DA6" s="12">
        <v>0.3701154828142138</v>
      </c>
      <c r="DB6" s="12">
        <v>0.38925574884224512</v>
      </c>
      <c r="DC6" s="12">
        <v>0.40907606290018717</v>
      </c>
      <c r="DD6" s="12">
        <v>0.4295528646917588</v>
      </c>
      <c r="DE6" s="12">
        <v>0.45065583809793841</v>
      </c>
      <c r="DF6" s="12">
        <v>1</v>
      </c>
      <c r="DG6" s="12">
        <v>1</v>
      </c>
      <c r="DH6" s="12">
        <v>1</v>
      </c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</row>
    <row r="7" spans="1:130">
      <c r="A7" s="2" t="s">
        <v>203</v>
      </c>
      <c r="B7" s="4" t="s">
        <v>142</v>
      </c>
      <c r="C7" s="2"/>
      <c r="D7" s="12">
        <v>0.46200000000000002</v>
      </c>
      <c r="E7" s="12">
        <v>0.44900000000000001</v>
      </c>
      <c r="F7" s="12">
        <v>0.436</v>
      </c>
      <c r="G7" s="12">
        <v>0.42299999999999999</v>
      </c>
      <c r="H7" s="12">
        <v>0.41</v>
      </c>
      <c r="I7" s="12">
        <v>0.39700000000000002</v>
      </c>
      <c r="J7" s="12">
        <v>0.38400000000000001</v>
      </c>
      <c r="K7" s="12">
        <v>0.371</v>
      </c>
      <c r="L7" s="12">
        <v>0.35799999999999998</v>
      </c>
      <c r="M7" s="12">
        <v>0.34499999999999997</v>
      </c>
      <c r="N7" s="12">
        <v>0.33200000000000002</v>
      </c>
      <c r="O7" s="12">
        <v>0.31900000000000001</v>
      </c>
      <c r="P7" s="12">
        <v>0.30599999999999999</v>
      </c>
      <c r="Q7" s="12">
        <v>0.29299999999999998</v>
      </c>
      <c r="R7" s="12">
        <v>0.28000000000000003</v>
      </c>
      <c r="S7" s="12">
        <v>0.26700000000000002</v>
      </c>
      <c r="T7" s="12">
        <v>0.254</v>
      </c>
      <c r="U7" s="12">
        <v>0.24099999999999999</v>
      </c>
      <c r="V7" s="12">
        <v>0.22900000000000001</v>
      </c>
      <c r="W7" s="12">
        <v>0.217</v>
      </c>
      <c r="X7" s="12">
        <v>0.20499999999999999</v>
      </c>
      <c r="Y7" s="12">
        <v>0.193</v>
      </c>
      <c r="Z7" s="12">
        <v>0.182</v>
      </c>
      <c r="AA7" s="12">
        <v>0.17100000000000001</v>
      </c>
      <c r="AB7" s="12">
        <v>0.161</v>
      </c>
      <c r="AC7" s="12">
        <v>0.151</v>
      </c>
      <c r="AD7" s="12">
        <v>0.14099999999999999</v>
      </c>
      <c r="AE7" s="12">
        <v>0.13200000000000001</v>
      </c>
      <c r="AF7" s="12">
        <v>0.123</v>
      </c>
      <c r="AG7" s="12">
        <v>0.114</v>
      </c>
      <c r="AH7" s="12">
        <v>0.106</v>
      </c>
      <c r="AI7" s="12">
        <v>0.1</v>
      </c>
      <c r="AJ7" s="12">
        <v>9.5000000000000001E-2</v>
      </c>
      <c r="AK7" s="12">
        <v>9.1999999999999998E-2</v>
      </c>
      <c r="AL7" s="12">
        <v>0.09</v>
      </c>
      <c r="AM7" s="12">
        <v>8.8999999999999996E-2</v>
      </c>
      <c r="AN7" s="12">
        <v>8.7999999999999995E-2</v>
      </c>
      <c r="AO7" s="12">
        <v>8.7999999999999995E-2</v>
      </c>
      <c r="AP7" s="12">
        <v>8.6999999999999994E-2</v>
      </c>
      <c r="AQ7" s="12">
        <v>8.5999999999999993E-2</v>
      </c>
      <c r="AR7" s="12">
        <v>8.5000000000000006E-2</v>
      </c>
      <c r="AS7" s="12">
        <v>8.5000000000000006E-2</v>
      </c>
      <c r="AT7" s="12">
        <v>8.5000000000000006E-2</v>
      </c>
      <c r="AU7" s="12">
        <v>8.5999999999999993E-2</v>
      </c>
      <c r="AV7" s="12">
        <v>8.5999999999999993E-2</v>
      </c>
      <c r="AW7" s="12">
        <v>8.6999999999999994E-2</v>
      </c>
      <c r="AX7" s="12">
        <v>8.7999999999999995E-2</v>
      </c>
      <c r="AY7" s="12">
        <v>8.7999999999999995E-2</v>
      </c>
      <c r="AZ7" s="12">
        <v>8.8999999999999996E-2</v>
      </c>
      <c r="BA7" s="12">
        <v>0.09</v>
      </c>
      <c r="BB7" s="12">
        <v>9.0999999999999998E-2</v>
      </c>
      <c r="BC7" s="12">
        <v>9.1999999999999998E-2</v>
      </c>
      <c r="BD7" s="12">
        <v>9.4E-2</v>
      </c>
      <c r="BE7" s="12">
        <v>9.6000000000000002E-2</v>
      </c>
      <c r="BF7" s="12">
        <v>9.9000000000000005E-2</v>
      </c>
      <c r="BG7" s="12">
        <v>0.10100000000000001</v>
      </c>
      <c r="BH7" s="12">
        <v>0.10299999999999999</v>
      </c>
      <c r="BI7" s="12">
        <v>0.105</v>
      </c>
      <c r="BJ7" s="12">
        <v>0.107</v>
      </c>
      <c r="BK7" s="12">
        <v>0.109</v>
      </c>
      <c r="BL7" s="12">
        <v>0.111</v>
      </c>
      <c r="BM7" s="12">
        <v>0.113</v>
      </c>
      <c r="BN7" s="12">
        <v>0.114</v>
      </c>
      <c r="BO7" s="12">
        <v>0.114</v>
      </c>
      <c r="BP7" s="12">
        <v>0.115</v>
      </c>
      <c r="BQ7" s="12">
        <v>0.115</v>
      </c>
      <c r="BR7" s="12">
        <v>0.115</v>
      </c>
      <c r="BS7" s="12">
        <v>0.115</v>
      </c>
      <c r="BT7" s="12">
        <v>0.115</v>
      </c>
      <c r="BU7" s="12">
        <v>0.115</v>
      </c>
      <c r="BV7" s="12">
        <v>0.115</v>
      </c>
      <c r="BW7" s="12">
        <v>0.115</v>
      </c>
      <c r="BX7" s="12">
        <v>0.115</v>
      </c>
      <c r="BY7" s="12">
        <v>0.115</v>
      </c>
      <c r="BZ7" s="12">
        <v>0.114</v>
      </c>
      <c r="CA7" s="12">
        <v>0.113</v>
      </c>
      <c r="CB7" s="12">
        <v>0.112</v>
      </c>
      <c r="CC7" s="12">
        <v>0.111</v>
      </c>
      <c r="CD7" s="12">
        <v>0.11</v>
      </c>
      <c r="CE7" s="12">
        <v>0.109</v>
      </c>
      <c r="CF7" s="12">
        <v>0.112</v>
      </c>
      <c r="CG7" s="12">
        <v>0.126</v>
      </c>
      <c r="CH7" s="12">
        <v>0.14099999999999999</v>
      </c>
      <c r="CI7" s="12">
        <v>0.158</v>
      </c>
      <c r="CJ7" s="12">
        <v>0.17799999999999999</v>
      </c>
      <c r="CK7" s="12">
        <v>0.19900000000000001</v>
      </c>
      <c r="CL7" s="12">
        <v>0.224</v>
      </c>
      <c r="CM7" s="12">
        <v>0.251</v>
      </c>
      <c r="CN7" s="12">
        <v>0.28199999999999997</v>
      </c>
      <c r="CO7" s="12">
        <v>0.316</v>
      </c>
      <c r="CP7" s="12">
        <v>0.35499999999999998</v>
      </c>
      <c r="CQ7" s="12">
        <v>0.39800000000000002</v>
      </c>
      <c r="CR7" s="12">
        <v>0.44600000000000001</v>
      </c>
      <c r="CS7" s="12">
        <v>0.501</v>
      </c>
      <c r="CT7" s="12">
        <v>0.56200000000000006</v>
      </c>
      <c r="CU7" s="12">
        <v>0.63100000000000001</v>
      </c>
      <c r="CV7" s="12">
        <v>0.70799999999999996</v>
      </c>
      <c r="CW7" s="12">
        <v>0.79400000000000004</v>
      </c>
      <c r="CX7" s="12">
        <v>0.89100000000000001</v>
      </c>
      <c r="CY7" s="12">
        <v>1</v>
      </c>
      <c r="CZ7" s="12"/>
      <c r="DA7" s="12"/>
      <c r="DB7" s="12"/>
      <c r="DC7" s="12"/>
      <c r="DD7" s="12"/>
      <c r="DE7" s="12"/>
      <c r="DF7" s="12"/>
      <c r="DG7" s="12"/>
      <c r="DH7" s="12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</row>
    <row r="8" spans="1:130">
      <c r="A8" s="2" t="s">
        <v>203</v>
      </c>
      <c r="B8" s="4" t="s">
        <v>153</v>
      </c>
      <c r="C8" s="2"/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0.11070000000000001</v>
      </c>
      <c r="T8" s="12">
        <v>0.10829999999999999</v>
      </c>
      <c r="U8" s="12">
        <v>0.106</v>
      </c>
      <c r="V8" s="12">
        <v>0.1037</v>
      </c>
      <c r="W8" s="12">
        <v>0.10150000000000001</v>
      </c>
      <c r="X8" s="12">
        <v>9.9400000000000002E-2</v>
      </c>
      <c r="Y8" s="12">
        <v>9.7299999999999998E-2</v>
      </c>
      <c r="Z8" s="12">
        <v>9.5200000000000007E-2</v>
      </c>
      <c r="AA8" s="12">
        <v>9.3299999999999994E-2</v>
      </c>
      <c r="AB8" s="12">
        <v>9.1399999999999995E-2</v>
      </c>
      <c r="AC8" s="12">
        <v>8.9499999999999996E-2</v>
      </c>
      <c r="AD8" s="12">
        <v>8.77E-2</v>
      </c>
      <c r="AE8" s="12">
        <v>8.5999999999999993E-2</v>
      </c>
      <c r="AF8" s="12">
        <v>8.43E-2</v>
      </c>
      <c r="AG8" s="12">
        <v>8.2699999999999996E-2</v>
      </c>
      <c r="AH8" s="12">
        <v>8.1100000000000005E-2</v>
      </c>
      <c r="AI8" s="12">
        <v>7.9600000000000004E-2</v>
      </c>
      <c r="AJ8" s="12">
        <v>7.8100000000000003E-2</v>
      </c>
      <c r="AK8" s="12">
        <v>7.6799999999999993E-2</v>
      </c>
      <c r="AL8" s="12">
        <v>7.5399999999999995E-2</v>
      </c>
      <c r="AM8" s="12">
        <v>7.4099999999999999E-2</v>
      </c>
      <c r="AN8" s="12">
        <v>7.2900000000000006E-2</v>
      </c>
      <c r="AO8" s="12">
        <v>7.1800000000000003E-2</v>
      </c>
      <c r="AP8" s="12">
        <v>7.0699999999999999E-2</v>
      </c>
      <c r="AQ8" s="12">
        <v>6.9599999999999995E-2</v>
      </c>
      <c r="AR8" s="12">
        <v>6.8599999999999994E-2</v>
      </c>
      <c r="AS8" s="12">
        <v>6.7699999999999996E-2</v>
      </c>
      <c r="AT8" s="12">
        <v>6.6799999999999998E-2</v>
      </c>
      <c r="AU8" s="12">
        <v>6.6000000000000003E-2</v>
      </c>
      <c r="AV8" s="12">
        <v>6.5299999999999997E-2</v>
      </c>
      <c r="AW8" s="12">
        <v>6.4600000000000005E-2</v>
      </c>
      <c r="AX8" s="12">
        <v>6.3899999999999998E-2</v>
      </c>
      <c r="AY8" s="12">
        <v>6.3299999999999995E-2</v>
      </c>
      <c r="AZ8" s="12">
        <v>6.2799999999999995E-2</v>
      </c>
      <c r="BA8" s="12">
        <v>6.2399999999999997E-2</v>
      </c>
      <c r="BB8" s="12">
        <v>6.1899999999999997E-2</v>
      </c>
      <c r="BC8" s="12">
        <v>6.1600000000000002E-2</v>
      </c>
      <c r="BD8" s="12">
        <v>6.13E-2</v>
      </c>
      <c r="BE8" s="12">
        <v>6.1100000000000002E-2</v>
      </c>
      <c r="BF8" s="12">
        <v>6.0900000000000003E-2</v>
      </c>
      <c r="BG8" s="12">
        <v>6.08E-2</v>
      </c>
      <c r="BH8" s="12">
        <v>6.0699999999999997E-2</v>
      </c>
      <c r="BI8" s="12">
        <v>6.0699999999999997E-2</v>
      </c>
      <c r="BJ8" s="12">
        <v>6.08E-2</v>
      </c>
      <c r="BK8" s="12">
        <v>6.0900000000000003E-2</v>
      </c>
      <c r="BL8" s="12">
        <v>6.0999999999999999E-2</v>
      </c>
      <c r="BM8" s="12">
        <v>6.13E-2</v>
      </c>
      <c r="BN8" s="12">
        <v>6.1600000000000002E-2</v>
      </c>
      <c r="BO8" s="12">
        <v>6.1899999999999997E-2</v>
      </c>
      <c r="BP8" s="12">
        <v>6.2300000000000001E-2</v>
      </c>
      <c r="BQ8" s="12">
        <v>6.2799999999999995E-2</v>
      </c>
      <c r="BR8" s="12">
        <v>6.3299999999999995E-2</v>
      </c>
      <c r="BS8" s="12">
        <v>6.4100000000000004E-2</v>
      </c>
      <c r="BT8" s="12">
        <v>6.7199999999999996E-2</v>
      </c>
      <c r="BU8" s="12">
        <v>7.1199999999999999E-2</v>
      </c>
      <c r="BV8" s="12">
        <v>7.5499999999999998E-2</v>
      </c>
      <c r="BW8" s="12">
        <v>8.0699999999999994E-2</v>
      </c>
      <c r="BX8" s="12">
        <v>8.6400000000000005E-2</v>
      </c>
      <c r="BY8" s="12">
        <v>9.4200000000000006E-2</v>
      </c>
      <c r="BZ8" s="12">
        <v>0.1014</v>
      </c>
      <c r="CA8" s="12">
        <v>0.10979999999999999</v>
      </c>
      <c r="CB8" s="12">
        <v>0.1192</v>
      </c>
      <c r="CC8" s="12">
        <v>0.12920000000000001</v>
      </c>
      <c r="CD8" s="12">
        <v>0.1391</v>
      </c>
      <c r="CE8" s="12">
        <v>0.15029999999999999</v>
      </c>
      <c r="CF8" s="12">
        <v>0.16339999999999999</v>
      </c>
      <c r="CG8" s="12">
        <v>0.1741</v>
      </c>
      <c r="CH8" s="12">
        <v>0.18920000000000001</v>
      </c>
      <c r="CI8" s="12">
        <v>0.20349999999999999</v>
      </c>
      <c r="CJ8" s="12">
        <v>0.21629999999999999</v>
      </c>
      <c r="CK8" s="12">
        <v>0.23139999999999999</v>
      </c>
      <c r="CL8" s="12">
        <v>0.24590000000000001</v>
      </c>
      <c r="CM8" s="12">
        <v>0.2601</v>
      </c>
      <c r="CN8" s="12">
        <v>0.2772</v>
      </c>
      <c r="CO8" s="12">
        <v>0.29930000000000001</v>
      </c>
      <c r="CP8" s="12">
        <v>0.32579999999999998</v>
      </c>
      <c r="CQ8" s="12">
        <v>0.35</v>
      </c>
      <c r="CR8" s="12">
        <v>0.3846</v>
      </c>
      <c r="CS8" s="12">
        <v>0.5</v>
      </c>
      <c r="CT8" s="12">
        <v>0.5</v>
      </c>
      <c r="CU8" s="12">
        <v>1</v>
      </c>
      <c r="CV8" s="12">
        <v>1</v>
      </c>
      <c r="CW8" s="12">
        <v>1</v>
      </c>
      <c r="CX8" s="12">
        <v>1</v>
      </c>
      <c r="CY8" s="12">
        <v>1</v>
      </c>
      <c r="CZ8" s="12">
        <v>1</v>
      </c>
      <c r="DA8" s="12"/>
      <c r="DB8" s="12"/>
      <c r="DC8" s="12"/>
      <c r="DD8" s="12"/>
      <c r="DE8" s="12"/>
      <c r="DF8" s="12"/>
      <c r="DG8" s="12"/>
      <c r="DH8" s="12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</row>
    <row r="9" spans="1:130">
      <c r="A9" s="30" t="s">
        <v>203</v>
      </c>
      <c r="B9" s="31" t="s">
        <v>192</v>
      </c>
      <c r="C9" s="30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>
        <v>0.12230000000000001</v>
      </c>
      <c r="T9" s="32">
        <v>0.1182</v>
      </c>
      <c r="U9" s="32">
        <v>0.11409999999999999</v>
      </c>
      <c r="V9" s="32">
        <v>0.11</v>
      </c>
      <c r="W9" s="32">
        <v>0.106</v>
      </c>
      <c r="X9" s="32">
        <v>0.10199999999999999</v>
      </c>
      <c r="Y9" s="32">
        <v>9.8100000000000007E-2</v>
      </c>
      <c r="Z9" s="32">
        <v>9.4299999999999995E-2</v>
      </c>
      <c r="AA9" s="32">
        <v>9.0499999999999997E-2</v>
      </c>
      <c r="AB9" s="32">
        <v>8.6800000000000002E-2</v>
      </c>
      <c r="AC9" s="32">
        <v>8.3099999999999993E-2</v>
      </c>
      <c r="AD9" s="32">
        <v>7.9500000000000001E-2</v>
      </c>
      <c r="AE9" s="32">
        <v>7.5700000000000003E-2</v>
      </c>
      <c r="AF9" s="32">
        <v>7.1999999999999995E-2</v>
      </c>
      <c r="AG9" s="32">
        <v>6.8500000000000005E-2</v>
      </c>
      <c r="AH9" s="32">
        <v>6.5600000000000006E-2</v>
      </c>
      <c r="AI9" s="32">
        <v>6.4000000000000001E-2</v>
      </c>
      <c r="AJ9" s="32">
        <v>6.4000000000000001E-2</v>
      </c>
      <c r="AK9" s="32">
        <v>6.4000000000000001E-2</v>
      </c>
      <c r="AL9" s="32">
        <v>6.3899999999999998E-2</v>
      </c>
      <c r="AM9" s="32">
        <v>6.3899999999999998E-2</v>
      </c>
      <c r="AN9" s="32">
        <v>6.3899999999999998E-2</v>
      </c>
      <c r="AO9" s="32">
        <v>6.3899999999999998E-2</v>
      </c>
      <c r="AP9" s="32">
        <v>6.3899999999999998E-2</v>
      </c>
      <c r="AQ9" s="32">
        <v>6.3299999999999995E-2</v>
      </c>
      <c r="AR9" s="32">
        <v>6.2199999999999998E-2</v>
      </c>
      <c r="AS9" s="32">
        <v>5.9900000000000002E-2</v>
      </c>
      <c r="AT9" s="32">
        <v>5.8299999999999998E-2</v>
      </c>
      <c r="AU9" s="32">
        <v>5.5800000000000002E-2</v>
      </c>
      <c r="AV9" s="32">
        <v>5.4600000000000003E-2</v>
      </c>
      <c r="AW9" s="32">
        <v>5.2999999999999999E-2</v>
      </c>
      <c r="AX9" s="32">
        <v>5.2499999999999998E-2</v>
      </c>
      <c r="AY9" s="32">
        <v>5.1999999999999998E-2</v>
      </c>
      <c r="AZ9" s="32">
        <v>5.16E-2</v>
      </c>
      <c r="BA9" s="32">
        <v>5.1200000000000002E-2</v>
      </c>
      <c r="BB9" s="32">
        <v>5.0999999999999997E-2</v>
      </c>
      <c r="BC9" s="32">
        <v>5.0299999999999997E-2</v>
      </c>
      <c r="BD9" s="32">
        <v>4.9599999999999998E-2</v>
      </c>
      <c r="BE9" s="32">
        <v>4.6399999999999997E-2</v>
      </c>
      <c r="BF9" s="32">
        <v>4.5499999999999999E-2</v>
      </c>
      <c r="BG9" s="32">
        <v>4.8500000000000001E-2</v>
      </c>
      <c r="BH9" s="32">
        <v>4.87E-2</v>
      </c>
      <c r="BI9" s="32">
        <v>4.8899999999999999E-2</v>
      </c>
      <c r="BJ9" s="32">
        <v>4.9500000000000002E-2</v>
      </c>
      <c r="BK9" s="32">
        <v>5.0099999999999999E-2</v>
      </c>
      <c r="BL9" s="32">
        <v>5.1200000000000002E-2</v>
      </c>
      <c r="BM9" s="32">
        <v>5.2900000000000003E-2</v>
      </c>
      <c r="BN9" s="32">
        <v>5.5E-2</v>
      </c>
      <c r="BO9" s="32">
        <v>5.7299999999999997E-2</v>
      </c>
      <c r="BP9" s="32">
        <v>6.0199999999999997E-2</v>
      </c>
      <c r="BQ9" s="32">
        <v>6.2899999999999998E-2</v>
      </c>
      <c r="BR9" s="32">
        <v>6.5299999999999997E-2</v>
      </c>
      <c r="BS9" s="32">
        <v>6.8500000000000005E-2</v>
      </c>
      <c r="BT9" s="32">
        <v>7.1499999999999994E-2</v>
      </c>
      <c r="BU9" s="32">
        <v>7.4999999999999997E-2</v>
      </c>
      <c r="BV9" s="32">
        <v>8.1100000000000005E-2</v>
      </c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32"/>
      <c r="DD9" s="32"/>
      <c r="DE9" s="32"/>
      <c r="DF9" s="32"/>
      <c r="DG9" s="32"/>
      <c r="DH9" s="32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</row>
    <row r="10" spans="1:130">
      <c r="A10" s="2" t="s">
        <v>203</v>
      </c>
      <c r="B10" s="4" t="s">
        <v>172</v>
      </c>
      <c r="C10" s="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>
        <v>0.1</v>
      </c>
      <c r="Y10" s="12">
        <v>0.1</v>
      </c>
      <c r="Z10" s="12">
        <v>0.1</v>
      </c>
      <c r="AA10" s="12">
        <v>0.1</v>
      </c>
      <c r="AB10" s="12">
        <v>0.1</v>
      </c>
      <c r="AC10" s="12">
        <v>0.1</v>
      </c>
      <c r="AD10" s="12">
        <v>0.1</v>
      </c>
      <c r="AE10" s="12">
        <v>0.1</v>
      </c>
      <c r="AF10" s="12">
        <v>0.1</v>
      </c>
      <c r="AG10" s="12">
        <v>0.1</v>
      </c>
      <c r="AH10" s="12">
        <v>0.1</v>
      </c>
      <c r="AI10" s="12">
        <v>9.5000000000000001E-2</v>
      </c>
      <c r="AJ10" s="12">
        <v>0.09</v>
      </c>
      <c r="AK10" s="12">
        <v>8.5000000000000006E-2</v>
      </c>
      <c r="AL10" s="12">
        <v>0.08</v>
      </c>
      <c r="AM10" s="12">
        <v>7.4999999999999997E-2</v>
      </c>
      <c r="AN10" s="12">
        <v>7.0000000000000007E-2</v>
      </c>
      <c r="AO10" s="12">
        <v>6.5000000000000002E-2</v>
      </c>
      <c r="AP10" s="12">
        <v>0.06</v>
      </c>
      <c r="AQ10" s="12">
        <v>5.5E-2</v>
      </c>
      <c r="AR10" s="12">
        <v>0.05</v>
      </c>
      <c r="AS10" s="12">
        <v>4.9000000000000002E-2</v>
      </c>
      <c r="AT10" s="12">
        <v>4.8000000000000001E-2</v>
      </c>
      <c r="AU10" s="12">
        <v>4.7E-2</v>
      </c>
      <c r="AV10" s="12">
        <v>4.5999999999999999E-2</v>
      </c>
      <c r="AW10" s="12">
        <v>4.4999999999999998E-2</v>
      </c>
      <c r="AX10" s="12">
        <v>4.3999999999999997E-2</v>
      </c>
      <c r="AY10" s="12">
        <v>4.2999999999999997E-2</v>
      </c>
      <c r="AZ10" s="12">
        <v>4.2000000000000003E-2</v>
      </c>
      <c r="BA10" s="12">
        <v>4.1000000000000002E-2</v>
      </c>
      <c r="BB10" s="12">
        <v>0.04</v>
      </c>
      <c r="BC10" s="12">
        <v>3.9E-2</v>
      </c>
      <c r="BD10" s="12">
        <v>3.7999999999999999E-2</v>
      </c>
      <c r="BE10" s="12">
        <v>3.6999999999999998E-2</v>
      </c>
      <c r="BF10" s="12">
        <v>3.5999999999999997E-2</v>
      </c>
      <c r="BG10" s="12">
        <v>3.5000000000000003E-2</v>
      </c>
      <c r="BH10" s="12">
        <v>3.4000000000000002E-2</v>
      </c>
      <c r="BI10" s="12">
        <v>3.3000000000000002E-2</v>
      </c>
      <c r="BJ10" s="12">
        <v>3.2000000000000001E-2</v>
      </c>
      <c r="BK10" s="12">
        <v>3.1E-2</v>
      </c>
      <c r="BL10" s="12">
        <v>0.03</v>
      </c>
      <c r="BM10" s="12">
        <v>2.9000000000000001E-2</v>
      </c>
      <c r="BN10" s="12">
        <v>2.8000000000000001E-2</v>
      </c>
      <c r="BO10" s="12">
        <v>2.7E-2</v>
      </c>
      <c r="BP10" s="12">
        <v>2.5999999999999999E-2</v>
      </c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</row>
    <row r="11" spans="1:130">
      <c r="A11" s="2" t="s">
        <v>203</v>
      </c>
      <c r="B11" s="4" t="s">
        <v>157</v>
      </c>
      <c r="C11" s="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>
        <v>7.45E-3</v>
      </c>
      <c r="Z11" s="12">
        <v>7.45E-3</v>
      </c>
      <c r="AA11" s="12">
        <v>7.45E-3</v>
      </c>
      <c r="AB11" s="12">
        <v>7.45E-3</v>
      </c>
      <c r="AC11" s="12">
        <v>7.45E-3</v>
      </c>
      <c r="AD11" s="12">
        <v>7.45E-3</v>
      </c>
      <c r="AE11" s="12">
        <v>7.45E-3</v>
      </c>
      <c r="AF11" s="12">
        <v>7.45E-3</v>
      </c>
      <c r="AG11" s="12">
        <v>7.45E-3</v>
      </c>
      <c r="AH11" s="12">
        <v>7.45E-3</v>
      </c>
      <c r="AI11" s="12">
        <v>7.45E-3</v>
      </c>
      <c r="AJ11" s="12">
        <v>7.45E-3</v>
      </c>
      <c r="AK11" s="12">
        <v>7.45E-3</v>
      </c>
      <c r="AL11" s="12">
        <v>7.45E-3</v>
      </c>
      <c r="AM11" s="12">
        <v>7.45E-3</v>
      </c>
      <c r="AN11" s="12">
        <v>7.45E-3</v>
      </c>
      <c r="AO11" s="12">
        <v>7.45E-3</v>
      </c>
      <c r="AP11" s="12">
        <v>7.45E-3</v>
      </c>
      <c r="AQ11" s="12">
        <v>7.45E-3</v>
      </c>
      <c r="AR11" s="12">
        <v>7.45E-3</v>
      </c>
      <c r="AS11" s="12">
        <v>7.45E-3</v>
      </c>
      <c r="AT11" s="12">
        <v>7.45E-3</v>
      </c>
      <c r="AU11" s="12">
        <v>7.45E-3</v>
      </c>
      <c r="AV11" s="12">
        <v>7.45E-3</v>
      </c>
      <c r="AW11" s="12">
        <v>7.45E-3</v>
      </c>
      <c r="AX11" s="12">
        <v>8.1840000000000003E-3</v>
      </c>
      <c r="AY11" s="12">
        <v>8.9589999999999999E-3</v>
      </c>
      <c r="AZ11" s="12">
        <v>9.7750000000000007E-3</v>
      </c>
      <c r="BA11" s="12">
        <v>1.0633999999999999E-2</v>
      </c>
      <c r="BB11" s="12">
        <v>1.1535E-2</v>
      </c>
      <c r="BC11" s="12">
        <v>1.2477E-2</v>
      </c>
      <c r="BD11" s="12">
        <v>1.3455999999999999E-2</v>
      </c>
      <c r="BE11" s="12">
        <v>1.4465E-2</v>
      </c>
      <c r="BF11" s="12">
        <v>1.5497E-2</v>
      </c>
      <c r="BG11" s="12">
        <v>1.6544E-2</v>
      </c>
      <c r="BH11" s="12">
        <v>1.7597999999999999E-2</v>
      </c>
      <c r="BI11" s="12">
        <v>1.8654E-2</v>
      </c>
      <c r="BJ11" s="12">
        <v>1.9709999999999998E-2</v>
      </c>
      <c r="BK11" s="12">
        <v>2.0767999999999998E-2</v>
      </c>
      <c r="BL11" s="12">
        <v>2.1839000000000001E-2</v>
      </c>
      <c r="BM11" s="12">
        <v>2.2936000000000002E-2</v>
      </c>
      <c r="BN11" s="12">
        <v>2.4080000000000001E-2</v>
      </c>
      <c r="BO11" s="12">
        <v>2.5293E-2</v>
      </c>
      <c r="BP11" s="12">
        <v>2.6599999999999999E-2</v>
      </c>
      <c r="BQ11" s="12">
        <v>2.8025999999999999E-2</v>
      </c>
      <c r="BR11" s="12">
        <v>2.9593999999999999E-2</v>
      </c>
      <c r="BS11" s="12">
        <v>3.1324999999999999E-2</v>
      </c>
      <c r="BT11" s="12">
        <v>3.3234E-2</v>
      </c>
      <c r="BU11" s="12">
        <v>3.5334999999999998E-2</v>
      </c>
      <c r="BV11" s="12">
        <v>3.7635000000000002E-2</v>
      </c>
      <c r="BW11" s="12">
        <v>4.0140000000000002E-2</v>
      </c>
      <c r="BX11" s="12">
        <v>4.2851E-2</v>
      </c>
      <c r="BY11" s="12">
        <v>4.5768999999999997E-2</v>
      </c>
      <c r="BZ11" s="12">
        <v>4.8895000000000001E-2</v>
      </c>
      <c r="CA11" s="12">
        <v>5.2229999999999999E-2</v>
      </c>
      <c r="CB11" s="12">
        <v>5.5777E-2</v>
      </c>
      <c r="CC11" s="12">
        <v>5.9545000000000001E-2</v>
      </c>
      <c r="CD11" s="12">
        <v>6.3545000000000004E-2</v>
      </c>
      <c r="CE11" s="12">
        <v>6.7793000000000006E-2</v>
      </c>
      <c r="CF11" s="12">
        <v>7.2312000000000001E-2</v>
      </c>
      <c r="CG11" s="12">
        <v>7.7134999999999995E-2</v>
      </c>
      <c r="CH11" s="12">
        <v>8.2297999999999996E-2</v>
      </c>
      <c r="CI11" s="12">
        <v>8.7837999999999999E-2</v>
      </c>
      <c r="CJ11" s="12">
        <v>9.3794000000000002E-2</v>
      </c>
      <c r="CK11" s="12">
        <v>0.100203</v>
      </c>
      <c r="CL11" s="12">
        <v>0.107099</v>
      </c>
      <c r="CM11" s="12">
        <v>0.114512</v>
      </c>
      <c r="CN11" s="12">
        <v>0.122464</v>
      </c>
      <c r="CO11" s="12">
        <v>0.13097200000000001</v>
      </c>
      <c r="CP11" s="12">
        <v>0.14004900000000001</v>
      </c>
      <c r="CQ11" s="12">
        <v>0.149698</v>
      </c>
      <c r="CR11" s="12">
        <v>0.15992400000000001</v>
      </c>
      <c r="CS11" s="12">
        <v>0.170433</v>
      </c>
      <c r="CT11" s="12">
        <v>0.18279899999999999</v>
      </c>
      <c r="CU11" s="12">
        <v>0.19450899999999999</v>
      </c>
      <c r="CV11" s="12">
        <v>0.20537900000000001</v>
      </c>
      <c r="CW11" s="12">
        <v>0.21523999999999999</v>
      </c>
      <c r="CX11" s="12">
        <v>0.22394700000000001</v>
      </c>
      <c r="CY11" s="12">
        <v>0.23138700000000001</v>
      </c>
      <c r="CZ11" s="12">
        <v>0.23746700000000001</v>
      </c>
      <c r="DA11" s="12">
        <v>0.244834</v>
      </c>
      <c r="DB11" s="12">
        <v>0.254498</v>
      </c>
      <c r="DC11" s="12">
        <v>0.266044</v>
      </c>
      <c r="DD11" s="12">
        <v>0.279055</v>
      </c>
      <c r="DE11" s="12">
        <v>0.29311599999999999</v>
      </c>
      <c r="DF11" s="12">
        <v>0.307811</v>
      </c>
      <c r="DG11" s="12">
        <v>0.32272499999999998</v>
      </c>
      <c r="DH11" s="12">
        <v>0.33744099999999999</v>
      </c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</row>
    <row r="12" spans="1:130">
      <c r="A12" s="2" t="s">
        <v>203</v>
      </c>
      <c r="B12" s="4" t="s">
        <v>158</v>
      </c>
      <c r="C12" s="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>
        <v>2.2571000000000001E-2</v>
      </c>
      <c r="Z12" s="12">
        <v>2.2571000000000001E-2</v>
      </c>
      <c r="AA12" s="12">
        <v>2.2571000000000001E-2</v>
      </c>
      <c r="AB12" s="12">
        <v>2.2571000000000001E-2</v>
      </c>
      <c r="AC12" s="12">
        <v>2.2571000000000001E-2</v>
      </c>
      <c r="AD12" s="12">
        <v>2.2571000000000001E-2</v>
      </c>
      <c r="AE12" s="12">
        <v>2.2571000000000001E-2</v>
      </c>
      <c r="AF12" s="12">
        <v>2.2571000000000001E-2</v>
      </c>
      <c r="AG12" s="12">
        <v>2.2571000000000001E-2</v>
      </c>
      <c r="AH12" s="12">
        <v>2.2571000000000001E-2</v>
      </c>
      <c r="AI12" s="12">
        <v>2.2571000000000001E-2</v>
      </c>
      <c r="AJ12" s="12">
        <v>2.2571000000000001E-2</v>
      </c>
      <c r="AK12" s="12">
        <v>2.2571000000000001E-2</v>
      </c>
      <c r="AL12" s="12">
        <v>2.2571000000000001E-2</v>
      </c>
      <c r="AM12" s="12">
        <v>2.2571000000000001E-2</v>
      </c>
      <c r="AN12" s="12">
        <v>2.2571000000000001E-2</v>
      </c>
      <c r="AO12" s="12">
        <v>2.2571000000000001E-2</v>
      </c>
      <c r="AP12" s="12">
        <v>2.2571000000000001E-2</v>
      </c>
      <c r="AQ12" s="12">
        <v>2.2571000000000001E-2</v>
      </c>
      <c r="AR12" s="12">
        <v>2.2571000000000001E-2</v>
      </c>
      <c r="AS12" s="12">
        <v>2.2571000000000001E-2</v>
      </c>
      <c r="AT12" s="12">
        <v>2.2571000000000001E-2</v>
      </c>
      <c r="AU12" s="12">
        <v>2.2571000000000001E-2</v>
      </c>
      <c r="AV12" s="12">
        <v>2.2571000000000001E-2</v>
      </c>
      <c r="AW12" s="12">
        <v>2.2571000000000001E-2</v>
      </c>
      <c r="AX12" s="12">
        <v>2.3847E-2</v>
      </c>
      <c r="AY12" s="12">
        <v>2.5124E-2</v>
      </c>
      <c r="AZ12" s="12">
        <v>2.6404E-2</v>
      </c>
      <c r="BA12" s="12">
        <v>2.7687E-2</v>
      </c>
      <c r="BB12" s="12">
        <v>2.8975000000000001E-2</v>
      </c>
      <c r="BC12" s="12">
        <v>3.0268E-2</v>
      </c>
      <c r="BD12" s="12">
        <v>3.1563000000000001E-2</v>
      </c>
      <c r="BE12" s="12">
        <v>3.2858999999999999E-2</v>
      </c>
      <c r="BF12" s="12">
        <v>3.4152000000000002E-2</v>
      </c>
      <c r="BG12" s="12">
        <v>3.5442000000000001E-2</v>
      </c>
      <c r="BH12" s="12">
        <v>3.6732000000000001E-2</v>
      </c>
      <c r="BI12" s="12">
        <v>3.8025999999999997E-2</v>
      </c>
      <c r="BJ12" s="12">
        <v>3.9334000000000001E-2</v>
      </c>
      <c r="BK12" s="12">
        <v>4.0668000000000003E-2</v>
      </c>
      <c r="BL12" s="12">
        <v>4.2042000000000003E-2</v>
      </c>
      <c r="BM12" s="12">
        <v>4.3473999999999999E-2</v>
      </c>
      <c r="BN12" s="12">
        <v>4.4981E-2</v>
      </c>
      <c r="BO12" s="12">
        <v>4.6584E-2</v>
      </c>
      <c r="BP12" s="12">
        <v>4.8307000000000003E-2</v>
      </c>
      <c r="BQ12" s="12">
        <v>5.0174000000000003E-2</v>
      </c>
      <c r="BR12" s="12">
        <v>5.2213000000000002E-2</v>
      </c>
      <c r="BS12" s="12">
        <v>5.4449999999999998E-2</v>
      </c>
      <c r="BT12" s="12">
        <v>5.6909000000000001E-2</v>
      </c>
      <c r="BU12" s="12">
        <v>5.9612999999999999E-2</v>
      </c>
      <c r="BV12" s="12">
        <v>6.2583E-2</v>
      </c>
      <c r="BW12" s="12">
        <v>6.5840999999999997E-2</v>
      </c>
      <c r="BX12" s="12">
        <v>6.9404999999999994E-2</v>
      </c>
      <c r="BY12" s="12">
        <v>7.3291999999999996E-2</v>
      </c>
      <c r="BZ12" s="12">
        <v>7.7511999999999998E-2</v>
      </c>
      <c r="CA12" s="12">
        <v>8.2067000000000001E-2</v>
      </c>
      <c r="CB12" s="12">
        <v>8.6951000000000001E-2</v>
      </c>
      <c r="CC12" s="12">
        <v>9.2148999999999995E-2</v>
      </c>
      <c r="CD12" s="12">
        <v>9.7640000000000005E-2</v>
      </c>
      <c r="CE12" s="12">
        <v>0.103392</v>
      </c>
      <c r="CF12" s="12">
        <v>0.109372</v>
      </c>
      <c r="CG12" s="12">
        <v>0.11554399999999999</v>
      </c>
      <c r="CH12" s="12">
        <v>0.121877</v>
      </c>
      <c r="CI12" s="12">
        <v>0.12834300000000001</v>
      </c>
      <c r="CJ12" s="12">
        <v>0.13492299999999999</v>
      </c>
      <c r="CK12" s="12">
        <v>0.14160300000000001</v>
      </c>
      <c r="CL12" s="12">
        <v>0.14837400000000001</v>
      </c>
      <c r="CM12" s="12">
        <v>0.15523500000000001</v>
      </c>
      <c r="CN12" s="12">
        <v>0.162186</v>
      </c>
      <c r="CO12" s="12">
        <v>0.16923299999999999</v>
      </c>
      <c r="CP12" s="12">
        <v>0.18340799999999999</v>
      </c>
      <c r="CQ12" s="12">
        <v>0.199769</v>
      </c>
      <c r="CR12" s="12">
        <v>0.21660499999999999</v>
      </c>
      <c r="CS12" s="12">
        <v>0.23366200000000001</v>
      </c>
      <c r="CT12" s="12">
        <v>0.250693</v>
      </c>
      <c r="CU12" s="12">
        <v>0.26749099999999998</v>
      </c>
      <c r="CV12" s="12">
        <v>0.28390500000000002</v>
      </c>
      <c r="CW12" s="12">
        <v>0.29985200000000001</v>
      </c>
      <c r="CX12" s="12">
        <v>0.31529600000000002</v>
      </c>
      <c r="CY12" s="12">
        <v>0.33020699999999997</v>
      </c>
      <c r="CZ12" s="12">
        <v>0.34455599999999997</v>
      </c>
      <c r="DA12" s="12">
        <v>0.358628</v>
      </c>
      <c r="DB12" s="12">
        <v>0.37168499999999999</v>
      </c>
      <c r="DC12" s="12">
        <v>0.38303999999999999</v>
      </c>
      <c r="DD12" s="12">
        <v>0.39200299999999999</v>
      </c>
      <c r="DE12" s="12">
        <v>0.39788600000000002</v>
      </c>
      <c r="DF12" s="12">
        <v>0.4</v>
      </c>
      <c r="DG12" s="12">
        <v>0.4</v>
      </c>
      <c r="DH12" s="12">
        <v>0.4</v>
      </c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</row>
    <row r="13" spans="1:130">
      <c r="A13" s="2" t="s">
        <v>203</v>
      </c>
      <c r="B13" s="4" t="s">
        <v>163</v>
      </c>
      <c r="C13" s="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>
        <v>2.5999999999999999E-2</v>
      </c>
      <c r="U13" s="12">
        <v>2.5999999999999999E-2</v>
      </c>
      <c r="V13" s="12">
        <v>2.5999999999999999E-2</v>
      </c>
      <c r="W13" s="12">
        <v>2.5999999999999999E-2</v>
      </c>
      <c r="X13" s="12">
        <v>2.5999999999999999E-2</v>
      </c>
      <c r="Y13" s="12">
        <v>2.5999999999999999E-2</v>
      </c>
      <c r="Z13" s="12">
        <v>2.5999999999999999E-2</v>
      </c>
      <c r="AA13" s="12">
        <v>2.5999999999999999E-2</v>
      </c>
      <c r="AB13" s="12">
        <v>2.5999999999999999E-2</v>
      </c>
      <c r="AC13" s="12">
        <v>2.5999999999999999E-2</v>
      </c>
      <c r="AD13" s="12">
        <v>2.5999999999999999E-2</v>
      </c>
      <c r="AE13" s="12">
        <v>2.5999999999999999E-2</v>
      </c>
      <c r="AF13" s="12">
        <v>2.5999999999999999E-2</v>
      </c>
      <c r="AG13" s="12">
        <v>2.5999999999999999E-2</v>
      </c>
      <c r="AH13" s="12">
        <v>2.5999999999999999E-2</v>
      </c>
      <c r="AI13" s="12">
        <v>2.5999999999999999E-2</v>
      </c>
      <c r="AJ13" s="12">
        <v>2.5999999999999999E-2</v>
      </c>
      <c r="AK13" s="12">
        <v>2.5999999999999999E-2</v>
      </c>
      <c r="AL13" s="12">
        <v>2.5999999999999999E-2</v>
      </c>
      <c r="AM13" s="12">
        <v>2.5999999999999999E-2</v>
      </c>
      <c r="AN13" s="12">
        <v>2.5999999999999999E-2</v>
      </c>
      <c r="AO13" s="12">
        <v>2.5999999999999999E-2</v>
      </c>
      <c r="AP13" s="12">
        <v>2.5999999999999999E-2</v>
      </c>
      <c r="AQ13" s="12">
        <v>2.5999999999999999E-2</v>
      </c>
      <c r="AR13" s="12">
        <v>2.5999999999999999E-2</v>
      </c>
      <c r="AS13" s="12">
        <v>2.5999999999999999E-2</v>
      </c>
      <c r="AT13" s="12">
        <v>2.5999999999999999E-2</v>
      </c>
      <c r="AU13" s="12">
        <v>2.7E-2</v>
      </c>
      <c r="AV13" s="12">
        <v>2.7E-2</v>
      </c>
      <c r="AW13" s="12">
        <v>2.7E-2</v>
      </c>
      <c r="AX13" s="12">
        <v>2.7E-2</v>
      </c>
      <c r="AY13" s="12">
        <v>2.8000000000000001E-2</v>
      </c>
      <c r="AZ13" s="12">
        <v>2.9000000000000001E-2</v>
      </c>
      <c r="BA13" s="12">
        <v>0.03</v>
      </c>
      <c r="BB13" s="12">
        <v>3.1E-2</v>
      </c>
      <c r="BC13" s="12">
        <v>3.3000000000000002E-2</v>
      </c>
      <c r="BD13" s="12">
        <v>3.5000000000000003E-2</v>
      </c>
      <c r="BE13" s="12">
        <v>3.9E-2</v>
      </c>
      <c r="BF13" s="12">
        <v>4.3999999999999997E-2</v>
      </c>
      <c r="BG13" s="12">
        <v>4.9000000000000002E-2</v>
      </c>
      <c r="BH13" s="12">
        <v>5.2999999999999999E-2</v>
      </c>
      <c r="BI13" s="12">
        <v>5.6000000000000001E-2</v>
      </c>
      <c r="BJ13" s="12">
        <v>5.8000000000000003E-2</v>
      </c>
      <c r="BK13" s="12">
        <v>0.06</v>
      </c>
      <c r="BL13" s="12">
        <v>6.2E-2</v>
      </c>
      <c r="BM13" s="12">
        <v>6.4000000000000001E-2</v>
      </c>
      <c r="BN13" s="12">
        <v>6.6000000000000003E-2</v>
      </c>
      <c r="BO13" s="12">
        <v>6.8000000000000005E-2</v>
      </c>
      <c r="BP13" s="12">
        <v>7.0000000000000007E-2</v>
      </c>
      <c r="BQ13" s="12">
        <v>7.2999999999999995E-2</v>
      </c>
      <c r="BR13" s="12">
        <v>7.5999999999999998E-2</v>
      </c>
      <c r="BS13" s="12">
        <v>7.9000000000000001E-2</v>
      </c>
      <c r="BT13" s="12">
        <v>8.2000000000000003E-2</v>
      </c>
      <c r="BU13" s="12">
        <v>8.5999999999999993E-2</v>
      </c>
      <c r="BV13" s="12">
        <v>8.8999999999999996E-2</v>
      </c>
      <c r="BW13" s="12">
        <v>9.1999999999999998E-2</v>
      </c>
      <c r="BX13" s="12">
        <v>9.5000000000000001E-2</v>
      </c>
      <c r="BY13" s="12">
        <v>9.9000000000000005E-2</v>
      </c>
      <c r="BZ13" s="12">
        <v>0.10299999999999999</v>
      </c>
      <c r="CA13" s="12">
        <v>0.106</v>
      </c>
      <c r="CB13" s="12">
        <v>0.11</v>
      </c>
      <c r="CC13" s="12">
        <v>0.115</v>
      </c>
      <c r="CD13" s="12">
        <v>0.122</v>
      </c>
      <c r="CE13" s="12">
        <v>0.13200000000000001</v>
      </c>
      <c r="CF13" s="12">
        <v>0.14399999999999999</v>
      </c>
      <c r="CG13" s="12">
        <v>0.159</v>
      </c>
      <c r="CH13" s="12">
        <v>0.17399999999999999</v>
      </c>
      <c r="CI13" s="12">
        <v>0.192</v>
      </c>
      <c r="CJ13" s="12">
        <v>0.21099999999999999</v>
      </c>
      <c r="CK13" s="12">
        <v>0.23599999999999999</v>
      </c>
      <c r="CL13" s="12">
        <v>0.26600000000000001</v>
      </c>
      <c r="CM13" s="12">
        <v>0.30299999999999999</v>
      </c>
      <c r="CN13" s="12">
        <v>0.34699999999999998</v>
      </c>
      <c r="CO13" s="12">
        <v>0.39600000000000002</v>
      </c>
      <c r="CP13" s="12">
        <v>0.45500000000000002</v>
      </c>
      <c r="CQ13" s="12">
        <v>0.53200000000000003</v>
      </c>
      <c r="CR13" s="12">
        <v>0.63400000000000001</v>
      </c>
      <c r="CS13" s="12">
        <v>0.73399999999999999</v>
      </c>
      <c r="CT13" s="12">
        <v>0.85699999999999998</v>
      </c>
      <c r="CU13" s="12">
        <v>1</v>
      </c>
      <c r="CV13" s="12">
        <v>1</v>
      </c>
      <c r="CW13" s="12">
        <v>1</v>
      </c>
      <c r="CX13" s="12">
        <v>1</v>
      </c>
      <c r="CY13" s="12">
        <v>1</v>
      </c>
      <c r="CZ13" s="12">
        <v>1</v>
      </c>
      <c r="DA13" s="12"/>
      <c r="DB13" s="12"/>
      <c r="DC13" s="12"/>
      <c r="DD13" s="12"/>
      <c r="DE13" s="12"/>
      <c r="DF13" s="12"/>
      <c r="DG13" s="12"/>
      <c r="DH13" s="12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</row>
    <row r="14" spans="1:130">
      <c r="A14" s="2" t="s">
        <v>203</v>
      </c>
      <c r="B14" s="4" t="s">
        <v>191</v>
      </c>
      <c r="C14" s="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>
        <v>5.0000000000000002E-5</v>
      </c>
      <c r="T14" s="12">
        <v>5.0000000000000002E-5</v>
      </c>
      <c r="U14" s="12">
        <v>5.0000000000000002E-5</v>
      </c>
      <c r="V14" s="12">
        <v>5.0000000000000002E-5</v>
      </c>
      <c r="W14" s="12">
        <v>5.0000000000000002E-5</v>
      </c>
      <c r="X14" s="12">
        <v>5.0000000000000002E-5</v>
      </c>
      <c r="Y14" s="12">
        <v>5.0000000000000002E-5</v>
      </c>
      <c r="Z14" s="12">
        <v>5.0000000000000002E-5</v>
      </c>
      <c r="AA14" s="12">
        <v>5.0000000000000002E-5</v>
      </c>
      <c r="AB14" s="12">
        <v>5.0000000000000002E-5</v>
      </c>
      <c r="AC14" s="12">
        <v>5.0000000000000002E-5</v>
      </c>
      <c r="AD14" s="12">
        <v>5.0000000000000002E-5</v>
      </c>
      <c r="AE14" s="12">
        <v>5.0000000000000002E-5</v>
      </c>
      <c r="AF14" s="12">
        <v>4.0000000000000003E-5</v>
      </c>
      <c r="AG14" s="12">
        <v>4.0000000000000003E-5</v>
      </c>
      <c r="AH14" s="12">
        <v>4.0000000000000003E-5</v>
      </c>
      <c r="AI14" s="12">
        <v>4.0000000000000003E-5</v>
      </c>
      <c r="AJ14" s="12">
        <v>4.0000000000000003E-5</v>
      </c>
      <c r="AK14" s="12">
        <v>4.0000000000000003E-5</v>
      </c>
      <c r="AL14" s="12">
        <v>4.0000000000000003E-5</v>
      </c>
      <c r="AM14" s="12">
        <v>3.0000000000000001E-5</v>
      </c>
      <c r="AN14" s="12">
        <v>3.0000000000000001E-5</v>
      </c>
      <c r="AO14" s="12">
        <v>3.0000000000000001E-5</v>
      </c>
      <c r="AP14" s="12">
        <v>3.0000000000000001E-5</v>
      </c>
      <c r="AQ14" s="12">
        <v>3.0000000000000001E-5</v>
      </c>
      <c r="AR14" s="12">
        <v>4.0000000000000003E-5</v>
      </c>
      <c r="AS14" s="12">
        <v>4.0000000000000003E-5</v>
      </c>
      <c r="AT14" s="12">
        <v>4.0000000000000003E-5</v>
      </c>
      <c r="AU14" s="12">
        <v>5.0000000000000002E-5</v>
      </c>
      <c r="AV14" s="12">
        <v>5.0000000000000002E-5</v>
      </c>
      <c r="AW14" s="12">
        <v>5.0000000000000002E-5</v>
      </c>
      <c r="AX14" s="12">
        <v>5.0000000000000002E-5</v>
      </c>
      <c r="AY14" s="12">
        <v>6.0000000000000002E-5</v>
      </c>
      <c r="AZ14" s="12">
        <v>6.0000000000000002E-5</v>
      </c>
      <c r="BA14" s="12">
        <v>6.9999999999999994E-5</v>
      </c>
      <c r="BB14" s="12">
        <v>8.0000000000000007E-5</v>
      </c>
      <c r="BC14" s="12">
        <v>9.0000000000000006E-5</v>
      </c>
      <c r="BD14" s="12">
        <v>9.0000000000000006E-5</v>
      </c>
      <c r="BE14" s="12">
        <v>1.1E-4</v>
      </c>
      <c r="BF14" s="12">
        <v>1.2999999999999999E-4</v>
      </c>
      <c r="BG14" s="12">
        <v>1.3999999999999999E-4</v>
      </c>
      <c r="BH14" s="12">
        <v>1.6000000000000001E-4</v>
      </c>
      <c r="BI14" s="12">
        <v>1.8000000000000001E-4</v>
      </c>
      <c r="BJ14" s="12">
        <v>2.1000000000000001E-4</v>
      </c>
      <c r="BK14" s="12">
        <v>2.3000000000000001E-4</v>
      </c>
      <c r="BL14" s="12">
        <v>2.5999999999999998E-4</v>
      </c>
      <c r="BM14" s="12">
        <v>2.9999999999999997E-4</v>
      </c>
      <c r="BN14" s="12">
        <v>3.4000000000000002E-4</v>
      </c>
      <c r="BO14" s="12">
        <v>3.8999999999999999E-4</v>
      </c>
      <c r="BP14" s="12">
        <v>4.6999999999999999E-4</v>
      </c>
      <c r="BQ14" s="12">
        <v>5.5999999999999995E-4</v>
      </c>
      <c r="BR14" s="12">
        <v>6.7000000000000002E-4</v>
      </c>
      <c r="BS14" s="12">
        <v>8.3000000000000001E-4</v>
      </c>
      <c r="BT14" s="12">
        <v>1.0399999999999999E-3</v>
      </c>
      <c r="BU14" s="12">
        <v>1.32E-3</v>
      </c>
      <c r="BV14" s="12">
        <v>1.72E-3</v>
      </c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</row>
    <row r="15" spans="1:130">
      <c r="A15" s="2" t="s">
        <v>203</v>
      </c>
      <c r="B15" s="4" t="s">
        <v>154</v>
      </c>
      <c r="C15" s="2"/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8.3999999999999995E-3</v>
      </c>
      <c r="Y15" s="12">
        <v>8.5299999999999994E-3</v>
      </c>
      <c r="Z15" s="12">
        <v>8.7200000000000003E-3</v>
      </c>
      <c r="AA15" s="12">
        <v>8.9099999999999995E-3</v>
      </c>
      <c r="AB15" s="12">
        <v>9.1000000000000004E-3</v>
      </c>
      <c r="AC15" s="12">
        <v>9.2999999999999992E-3</v>
      </c>
      <c r="AD15" s="12">
        <v>9.5099999999999994E-3</v>
      </c>
      <c r="AE15" s="12">
        <v>9.7300000000000008E-3</v>
      </c>
      <c r="AF15" s="12">
        <v>9.9600000000000001E-3</v>
      </c>
      <c r="AG15" s="12">
        <v>1.021E-2</v>
      </c>
      <c r="AH15" s="12">
        <v>1.048E-2</v>
      </c>
      <c r="AI15" s="12">
        <v>1.077E-2</v>
      </c>
      <c r="AJ15" s="12">
        <v>1.108E-2</v>
      </c>
      <c r="AK15" s="12">
        <v>1.141E-2</v>
      </c>
      <c r="AL15" s="12">
        <v>1.1769999999999999E-2</v>
      </c>
      <c r="AM15" s="12">
        <v>1.2160000000000001E-2</v>
      </c>
      <c r="AN15" s="12">
        <v>1.2579999999999999E-2</v>
      </c>
      <c r="AO15" s="12">
        <v>1.303E-2</v>
      </c>
      <c r="AP15" s="12">
        <v>1.3509999999999999E-2</v>
      </c>
      <c r="AQ15" s="12">
        <v>1.401E-2</v>
      </c>
      <c r="AR15" s="12">
        <v>1.4540000000000001E-2</v>
      </c>
      <c r="AS15" s="12">
        <v>1.511E-2</v>
      </c>
      <c r="AT15" s="12">
        <v>1.5699999999999999E-2</v>
      </c>
      <c r="AU15" s="12">
        <v>1.6330000000000001E-2</v>
      </c>
      <c r="AV15" s="12">
        <v>1.6990000000000002E-2</v>
      </c>
      <c r="AW15" s="12">
        <v>1.77E-2</v>
      </c>
      <c r="AX15" s="12">
        <v>1.8450000000000001E-2</v>
      </c>
      <c r="AY15" s="12">
        <v>1.924E-2</v>
      </c>
      <c r="AZ15" s="12">
        <v>2.009E-2</v>
      </c>
      <c r="BA15" s="12">
        <v>2.0969999999999999E-2</v>
      </c>
      <c r="BB15" s="12">
        <v>2.1909999999999999E-2</v>
      </c>
      <c r="BC15" s="12">
        <v>2.29E-2</v>
      </c>
      <c r="BD15" s="12">
        <v>2.3949999999999999E-2</v>
      </c>
      <c r="BE15" s="12">
        <v>2.5059999999999999E-2</v>
      </c>
      <c r="BF15" s="12">
        <v>2.6239999999999999E-2</v>
      </c>
      <c r="BG15" s="12">
        <v>2.7490000000000001E-2</v>
      </c>
      <c r="BH15" s="12">
        <v>2.8809999999999999E-2</v>
      </c>
      <c r="BI15" s="12">
        <v>3.0200000000000001E-2</v>
      </c>
      <c r="BJ15" s="12">
        <v>3.1669999999999997E-2</v>
      </c>
      <c r="BK15" s="12">
        <v>3.3230000000000003E-2</v>
      </c>
      <c r="BL15" s="12">
        <v>3.4880000000000001E-2</v>
      </c>
      <c r="BM15" s="12">
        <v>3.6630000000000003E-2</v>
      </c>
      <c r="BN15" s="12">
        <v>3.8469999999999997E-2</v>
      </c>
      <c r="BO15" s="12">
        <v>4.0419999999999998E-2</v>
      </c>
      <c r="BP15" s="12">
        <v>4.2479999999999997E-2</v>
      </c>
      <c r="BQ15" s="12">
        <v>4.4650000000000002E-2</v>
      </c>
      <c r="BR15" s="12">
        <v>4.6949999999999999E-2</v>
      </c>
      <c r="BS15" s="12">
        <v>4.938E-2</v>
      </c>
      <c r="BT15" s="12">
        <v>5.1950000000000003E-2</v>
      </c>
      <c r="BU15" s="12">
        <v>5.466E-2</v>
      </c>
      <c r="BV15" s="12">
        <v>5.7540000000000001E-2</v>
      </c>
      <c r="BW15" s="12">
        <v>6.0560000000000003E-2</v>
      </c>
      <c r="BX15" s="12">
        <v>6.3750000000000001E-2</v>
      </c>
      <c r="BY15" s="12">
        <v>6.7129999999999995E-2</v>
      </c>
      <c r="BZ15" s="12">
        <v>7.0690000000000003E-2</v>
      </c>
      <c r="CA15" s="12">
        <v>7.4440000000000006E-2</v>
      </c>
      <c r="CB15" s="12">
        <v>7.8409999999999994E-2</v>
      </c>
      <c r="CC15" s="12">
        <v>8.2589999999999997E-2</v>
      </c>
      <c r="CD15" s="12">
        <v>8.6999999999999994E-2</v>
      </c>
      <c r="CE15" s="12">
        <v>9.1649999999999995E-2</v>
      </c>
      <c r="CF15" s="12">
        <v>9.6540000000000001E-2</v>
      </c>
      <c r="CG15" s="12">
        <v>0.10170999999999999</v>
      </c>
      <c r="CH15" s="12">
        <v>0.10715</v>
      </c>
      <c r="CI15" s="12">
        <v>0.11287</v>
      </c>
      <c r="CJ15" s="12">
        <v>0.11890000000000001</v>
      </c>
      <c r="CK15" s="12">
        <v>0.12523999999999999</v>
      </c>
      <c r="CL15" s="12">
        <v>0.13191</v>
      </c>
      <c r="CM15" s="12">
        <v>0.13893</v>
      </c>
      <c r="CN15" s="12">
        <v>0.14630000000000001</v>
      </c>
      <c r="CO15" s="12">
        <v>0.15404000000000001</v>
      </c>
      <c r="CP15" s="12">
        <v>0.16219</v>
      </c>
      <c r="CQ15" s="12">
        <v>0.17094000000000001</v>
      </c>
      <c r="CR15" s="12">
        <v>0.18059</v>
      </c>
      <c r="CS15" s="12">
        <v>0.19153999999999999</v>
      </c>
      <c r="CT15" s="12">
        <v>0.20429</v>
      </c>
      <c r="CU15" s="12">
        <v>0.21944</v>
      </c>
      <c r="CV15" s="12">
        <v>0.23769000000000001</v>
      </c>
      <c r="CW15" s="12">
        <v>0.25984000000000002</v>
      </c>
      <c r="CX15" s="12">
        <v>0.28678999999999999</v>
      </c>
      <c r="CY15" s="12">
        <v>0.31953999999999999</v>
      </c>
      <c r="CZ15" s="12">
        <v>0.35919000000000001</v>
      </c>
      <c r="DA15" s="12">
        <v>0.40694000000000002</v>
      </c>
      <c r="DB15" s="12">
        <v>0.46409</v>
      </c>
      <c r="DC15" s="12">
        <v>0.53203999999999996</v>
      </c>
      <c r="DD15" s="12">
        <v>0.61229</v>
      </c>
      <c r="DE15" s="12">
        <v>0.70640000000000003</v>
      </c>
      <c r="DF15" s="12">
        <v>0.81618999999999997</v>
      </c>
      <c r="DG15" s="12">
        <v>0.94333999999999996</v>
      </c>
      <c r="DH15" s="12">
        <v>1</v>
      </c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</row>
    <row r="16" spans="1:130">
      <c r="A16" s="28" t="s">
        <v>203</v>
      </c>
      <c r="B16" s="27" t="s">
        <v>168</v>
      </c>
      <c r="C16" s="28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>
        <v>0.10199999999999999</v>
      </c>
      <c r="Y16" s="29">
        <v>9.8100000000000007E-2</v>
      </c>
      <c r="Z16" s="29">
        <v>9.4299999999999995E-2</v>
      </c>
      <c r="AA16" s="29">
        <v>9.0499999999999997E-2</v>
      </c>
      <c r="AB16" s="29">
        <v>8.6800000000000002E-2</v>
      </c>
      <c r="AC16" s="29">
        <v>8.3099999999999993E-2</v>
      </c>
      <c r="AD16" s="29">
        <v>7.9500000000000001E-2</v>
      </c>
      <c r="AE16" s="29">
        <v>7.5700000000000003E-2</v>
      </c>
      <c r="AF16" s="29">
        <v>7.1999999999999995E-2</v>
      </c>
      <c r="AG16" s="29">
        <v>6.8500000000000005E-2</v>
      </c>
      <c r="AH16" s="29">
        <v>6.5600000000000006E-2</v>
      </c>
      <c r="AI16" s="29">
        <v>6.4000000000000001E-2</v>
      </c>
      <c r="AJ16" s="29">
        <v>6.4000000000000001E-2</v>
      </c>
      <c r="AK16" s="29">
        <v>6.4000000000000001E-2</v>
      </c>
      <c r="AL16" s="29">
        <v>6.3899999999999998E-2</v>
      </c>
      <c r="AM16" s="29">
        <v>6.3899999999999998E-2</v>
      </c>
      <c r="AN16" s="29">
        <v>6.3899999999999998E-2</v>
      </c>
      <c r="AO16" s="29">
        <v>6.3899999999999998E-2</v>
      </c>
      <c r="AP16" s="29">
        <v>6.3899999999999998E-2</v>
      </c>
      <c r="AQ16" s="29">
        <v>6.3299999999999995E-2</v>
      </c>
      <c r="AR16" s="29">
        <v>6.2199999999999998E-2</v>
      </c>
      <c r="AS16" s="29">
        <v>5.9900000000000002E-2</v>
      </c>
      <c r="AT16" s="29">
        <v>5.8299999999999998E-2</v>
      </c>
      <c r="AU16" s="29">
        <v>5.5800000000000002E-2</v>
      </c>
      <c r="AV16" s="29">
        <v>5.4600000000000003E-2</v>
      </c>
      <c r="AW16" s="29">
        <v>5.2999999999999999E-2</v>
      </c>
      <c r="AX16" s="29">
        <v>5.2499999999999998E-2</v>
      </c>
      <c r="AY16" s="29">
        <v>5.1999999999999998E-2</v>
      </c>
      <c r="AZ16" s="29">
        <v>5.16E-2</v>
      </c>
      <c r="BA16" s="29">
        <v>5.1200000000000002E-2</v>
      </c>
      <c r="BB16" s="29">
        <v>5.0999999999999997E-2</v>
      </c>
      <c r="BC16" s="29">
        <v>5.0299999999999997E-2</v>
      </c>
      <c r="BD16" s="29">
        <v>4.9599999999999998E-2</v>
      </c>
      <c r="BE16" s="29">
        <v>4.8599999999999997E-2</v>
      </c>
      <c r="BF16" s="29">
        <v>4.8500000000000001E-2</v>
      </c>
      <c r="BG16" s="29">
        <v>4.8500000000000001E-2</v>
      </c>
      <c r="BH16" s="29">
        <v>4.87E-2</v>
      </c>
      <c r="BI16" s="29">
        <v>4.8899999999999999E-2</v>
      </c>
      <c r="BJ16" s="29">
        <v>4.9500000000000002E-2</v>
      </c>
      <c r="BK16" s="29">
        <v>5.0099999999999999E-2</v>
      </c>
      <c r="BL16" s="29">
        <v>5.1200000000000002E-2</v>
      </c>
      <c r="BM16" s="29">
        <v>5.2900000000000003E-2</v>
      </c>
      <c r="BN16" s="29">
        <v>5.5E-2</v>
      </c>
      <c r="BO16" s="29">
        <v>5.7299999999999997E-2</v>
      </c>
      <c r="BP16" s="29">
        <v>6.0199999999999997E-2</v>
      </c>
      <c r="BQ16" s="29">
        <v>6.2899999999999998E-2</v>
      </c>
      <c r="BR16" s="29">
        <v>6.5299999999999997E-2</v>
      </c>
      <c r="BS16" s="29">
        <v>6.8500000000000005E-2</v>
      </c>
      <c r="BT16" s="29">
        <v>7.1499999999999994E-2</v>
      </c>
      <c r="BU16" s="29">
        <v>7.4399999999999994E-2</v>
      </c>
      <c r="BV16" s="29">
        <v>7.8E-2</v>
      </c>
      <c r="BW16" s="29">
        <v>8.1000000000000003E-2</v>
      </c>
      <c r="BX16" s="29">
        <v>8.3000000000000004E-2</v>
      </c>
      <c r="BY16" s="29">
        <v>8.5000000000000006E-2</v>
      </c>
      <c r="BZ16" s="29">
        <v>8.6999999999999994E-2</v>
      </c>
      <c r="CA16" s="29">
        <v>8.8999999999999996E-2</v>
      </c>
      <c r="CB16" s="29">
        <v>9.7199999999999995E-2</v>
      </c>
      <c r="CC16" s="29">
        <v>0.10589999999999999</v>
      </c>
      <c r="CD16" s="29">
        <v>0.115</v>
      </c>
      <c r="CE16" s="29">
        <v>0.1249</v>
      </c>
      <c r="CF16" s="29">
        <v>0.13550000000000001</v>
      </c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</row>
    <row r="17" spans="1:130">
      <c r="A17" s="28" t="s">
        <v>203</v>
      </c>
      <c r="B17" s="27" t="s">
        <v>160</v>
      </c>
      <c r="C17" s="28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>
        <v>0.1182</v>
      </c>
      <c r="U17" s="29">
        <v>0.11409999999999999</v>
      </c>
      <c r="V17" s="29">
        <v>0.11</v>
      </c>
      <c r="W17" s="29">
        <v>0.106</v>
      </c>
      <c r="X17" s="29">
        <v>0.10199999999999999</v>
      </c>
      <c r="Y17" s="29">
        <v>9.8100000000000007E-2</v>
      </c>
      <c r="Z17" s="29">
        <v>9.4299999999999995E-2</v>
      </c>
      <c r="AA17" s="29">
        <v>9.0499999999999997E-2</v>
      </c>
      <c r="AB17" s="29">
        <v>8.6800000000000002E-2</v>
      </c>
      <c r="AC17" s="29">
        <v>8.3099999999999993E-2</v>
      </c>
      <c r="AD17" s="29">
        <v>7.9500000000000001E-2</v>
      </c>
      <c r="AE17" s="29">
        <v>7.5700000000000003E-2</v>
      </c>
      <c r="AF17" s="29">
        <v>7.1999999999999995E-2</v>
      </c>
      <c r="AG17" s="29">
        <v>6.8500000000000005E-2</v>
      </c>
      <c r="AH17" s="29">
        <v>6.5600000000000006E-2</v>
      </c>
      <c r="AI17" s="29">
        <v>6.4000000000000001E-2</v>
      </c>
      <c r="AJ17" s="29">
        <v>6.4000000000000001E-2</v>
      </c>
      <c r="AK17" s="29">
        <v>6.4000000000000001E-2</v>
      </c>
      <c r="AL17" s="29">
        <v>6.3899999999999998E-2</v>
      </c>
      <c r="AM17" s="29">
        <v>6.3899999999999998E-2</v>
      </c>
      <c r="AN17" s="29">
        <v>6.3899999999999998E-2</v>
      </c>
      <c r="AO17" s="29">
        <v>6.3899999999999998E-2</v>
      </c>
      <c r="AP17" s="29">
        <v>6.3899999999999998E-2</v>
      </c>
      <c r="AQ17" s="29">
        <v>6.3299999999999995E-2</v>
      </c>
      <c r="AR17" s="29">
        <v>6.2199999999999998E-2</v>
      </c>
      <c r="AS17" s="29">
        <v>5.9900000000000002E-2</v>
      </c>
      <c r="AT17" s="29">
        <v>5.8299999999999998E-2</v>
      </c>
      <c r="AU17" s="29">
        <v>5.5800000000000002E-2</v>
      </c>
      <c r="AV17" s="29">
        <v>5.4600000000000003E-2</v>
      </c>
      <c r="AW17" s="29">
        <v>5.2999999999999999E-2</v>
      </c>
      <c r="AX17" s="29">
        <v>5.2499999999999998E-2</v>
      </c>
      <c r="AY17" s="29">
        <v>5.1999999999999998E-2</v>
      </c>
      <c r="AZ17" s="29">
        <v>5.16E-2</v>
      </c>
      <c r="BA17" s="29">
        <v>5.1200000000000002E-2</v>
      </c>
      <c r="BB17" s="29">
        <v>5.0999999999999997E-2</v>
      </c>
      <c r="BC17" s="29">
        <v>5.0299999999999997E-2</v>
      </c>
      <c r="BD17" s="29">
        <v>4.9599999999999998E-2</v>
      </c>
      <c r="BE17" s="29">
        <v>4.8599999999999997E-2</v>
      </c>
      <c r="BF17" s="29">
        <v>4.8500000000000001E-2</v>
      </c>
      <c r="BG17" s="29">
        <v>4.8500000000000001E-2</v>
      </c>
      <c r="BH17" s="29">
        <v>4.87E-2</v>
      </c>
      <c r="BI17" s="29">
        <v>4.8899999999999999E-2</v>
      </c>
      <c r="BJ17" s="29">
        <v>4.9500000000000002E-2</v>
      </c>
      <c r="BK17" s="29">
        <v>5.0099999999999999E-2</v>
      </c>
      <c r="BL17" s="29">
        <v>5.1200000000000002E-2</v>
      </c>
      <c r="BM17" s="29">
        <v>5.2900000000000003E-2</v>
      </c>
      <c r="BN17" s="29">
        <v>5.5E-2</v>
      </c>
      <c r="BO17" s="29">
        <v>5.7299999999999997E-2</v>
      </c>
      <c r="BP17" s="29">
        <v>6.0199999999999997E-2</v>
      </c>
      <c r="BQ17" s="29">
        <v>6.2899999999999998E-2</v>
      </c>
      <c r="BR17" s="29">
        <v>6.5299999999999997E-2</v>
      </c>
      <c r="BS17" s="29">
        <v>6.8500000000000005E-2</v>
      </c>
      <c r="BT17" s="29">
        <v>7.1499999999999994E-2</v>
      </c>
      <c r="BU17" s="29">
        <v>7.4380000000000002E-2</v>
      </c>
      <c r="BV17" s="29">
        <v>7.7499999999999999E-2</v>
      </c>
      <c r="BW17" s="29">
        <v>8.0949999999999994E-2</v>
      </c>
      <c r="BX17" s="29">
        <v>8.4839999999999999E-2</v>
      </c>
      <c r="BY17" s="29">
        <v>8.9249999999999996E-2</v>
      </c>
      <c r="BZ17" s="29">
        <v>9.4289999999999999E-2</v>
      </c>
      <c r="CA17" s="29">
        <v>0.10007000000000001</v>
      </c>
      <c r="CB17" s="29">
        <v>0.1067</v>
      </c>
      <c r="CC17" s="29">
        <v>0.1143</v>
      </c>
      <c r="CD17" s="29">
        <v>0.12262000000000001</v>
      </c>
      <c r="CE17" s="29">
        <v>0.13303999999999999</v>
      </c>
      <c r="CF17" s="29">
        <v>0.14426</v>
      </c>
      <c r="CG17" s="29">
        <v>0.15648999999999999</v>
      </c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</row>
  </sheetData>
  <phoneticPr fontId="0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DZ29"/>
  <sheetViews>
    <sheetView workbookViewId="0">
      <selection activeCell="B2" sqref="B2"/>
    </sheetView>
  </sheetViews>
  <sheetFormatPr defaultRowHeight="15"/>
  <cols>
    <col min="1" max="1" width="33.42578125" style="1" customWidth="1"/>
    <col min="2" max="2" width="31.28515625" style="1" bestFit="1" customWidth="1"/>
    <col min="3" max="3" width="22.140625" style="1" customWidth="1"/>
    <col min="4" max="84" width="11.5703125" style="1" bestFit="1" customWidth="1"/>
    <col min="85" max="124" width="10.5703125" style="1" bestFit="1" customWidth="1"/>
    <col min="125" max="130" width="10" style="1" bestFit="1" customWidth="1"/>
    <col min="131" max="16384" width="9.140625" style="1"/>
  </cols>
  <sheetData>
    <row r="2" spans="1:130" ht="18.75">
      <c r="A2" s="34"/>
      <c r="B2" s="34" t="s">
        <v>219</v>
      </c>
    </row>
    <row r="4" spans="1:130">
      <c r="A4" s="2" t="s">
        <v>193</v>
      </c>
      <c r="B4" s="2" t="s">
        <v>1</v>
      </c>
      <c r="C4" s="2" t="s">
        <v>2</v>
      </c>
      <c r="D4" s="3">
        <v>0</v>
      </c>
      <c r="E4" s="3">
        <f t="shared" ref="E4:AJ4" si="0">D4+1</f>
        <v>1</v>
      </c>
      <c r="F4" s="3">
        <f t="shared" si="0"/>
        <v>2</v>
      </c>
      <c r="G4" s="3">
        <f t="shared" si="0"/>
        <v>3</v>
      </c>
      <c r="H4" s="3">
        <f t="shared" si="0"/>
        <v>4</v>
      </c>
      <c r="I4" s="3">
        <f t="shared" si="0"/>
        <v>5</v>
      </c>
      <c r="J4" s="3">
        <f t="shared" si="0"/>
        <v>6</v>
      </c>
      <c r="K4" s="3">
        <f t="shared" si="0"/>
        <v>7</v>
      </c>
      <c r="L4" s="3">
        <f t="shared" si="0"/>
        <v>8</v>
      </c>
      <c r="M4" s="3">
        <f t="shared" si="0"/>
        <v>9</v>
      </c>
      <c r="N4" s="3">
        <f t="shared" si="0"/>
        <v>10</v>
      </c>
      <c r="O4" s="3">
        <f t="shared" si="0"/>
        <v>11</v>
      </c>
      <c r="P4" s="3">
        <f t="shared" si="0"/>
        <v>12</v>
      </c>
      <c r="Q4" s="3">
        <f t="shared" si="0"/>
        <v>13</v>
      </c>
      <c r="R4" s="3">
        <f t="shared" si="0"/>
        <v>14</v>
      </c>
      <c r="S4" s="3">
        <f t="shared" si="0"/>
        <v>15</v>
      </c>
      <c r="T4" s="3">
        <f t="shared" si="0"/>
        <v>16</v>
      </c>
      <c r="U4" s="3">
        <f t="shared" si="0"/>
        <v>17</v>
      </c>
      <c r="V4" s="3">
        <f t="shared" si="0"/>
        <v>18</v>
      </c>
      <c r="W4" s="3">
        <f t="shared" si="0"/>
        <v>19</v>
      </c>
      <c r="X4" s="3">
        <f t="shared" si="0"/>
        <v>20</v>
      </c>
      <c r="Y4" s="3">
        <f t="shared" si="0"/>
        <v>21</v>
      </c>
      <c r="Z4" s="3">
        <f t="shared" si="0"/>
        <v>22</v>
      </c>
      <c r="AA4" s="3">
        <f t="shared" si="0"/>
        <v>23</v>
      </c>
      <c r="AB4" s="3">
        <f t="shared" si="0"/>
        <v>24</v>
      </c>
      <c r="AC4" s="3">
        <f t="shared" si="0"/>
        <v>25</v>
      </c>
      <c r="AD4" s="3">
        <f t="shared" si="0"/>
        <v>26</v>
      </c>
      <c r="AE4" s="3">
        <f t="shared" si="0"/>
        <v>27</v>
      </c>
      <c r="AF4" s="3">
        <f t="shared" si="0"/>
        <v>28</v>
      </c>
      <c r="AG4" s="3">
        <f t="shared" si="0"/>
        <v>29</v>
      </c>
      <c r="AH4" s="3">
        <f t="shared" si="0"/>
        <v>30</v>
      </c>
      <c r="AI4" s="3">
        <f t="shared" si="0"/>
        <v>31</v>
      </c>
      <c r="AJ4" s="3">
        <f t="shared" si="0"/>
        <v>32</v>
      </c>
      <c r="AK4" s="3">
        <f t="shared" ref="AK4:BP4" si="1">AJ4+1</f>
        <v>33</v>
      </c>
      <c r="AL4" s="3">
        <f t="shared" si="1"/>
        <v>34</v>
      </c>
      <c r="AM4" s="3">
        <f t="shared" si="1"/>
        <v>35</v>
      </c>
      <c r="AN4" s="3">
        <f t="shared" si="1"/>
        <v>36</v>
      </c>
      <c r="AO4" s="3">
        <f t="shared" si="1"/>
        <v>37</v>
      </c>
      <c r="AP4" s="3">
        <f t="shared" si="1"/>
        <v>38</v>
      </c>
      <c r="AQ4" s="3">
        <f t="shared" si="1"/>
        <v>39</v>
      </c>
      <c r="AR4" s="3">
        <f t="shared" si="1"/>
        <v>40</v>
      </c>
      <c r="AS4" s="3">
        <f t="shared" si="1"/>
        <v>41</v>
      </c>
      <c r="AT4" s="3">
        <f t="shared" si="1"/>
        <v>42</v>
      </c>
      <c r="AU4" s="3">
        <f t="shared" si="1"/>
        <v>43</v>
      </c>
      <c r="AV4" s="3">
        <f t="shared" si="1"/>
        <v>44</v>
      </c>
      <c r="AW4" s="3">
        <f t="shared" si="1"/>
        <v>45</v>
      </c>
      <c r="AX4" s="3">
        <f t="shared" si="1"/>
        <v>46</v>
      </c>
      <c r="AY4" s="3">
        <f t="shared" si="1"/>
        <v>47</v>
      </c>
      <c r="AZ4" s="3">
        <f t="shared" si="1"/>
        <v>48</v>
      </c>
      <c r="BA4" s="3">
        <f t="shared" si="1"/>
        <v>49</v>
      </c>
      <c r="BB4" s="3">
        <f t="shared" si="1"/>
        <v>50</v>
      </c>
      <c r="BC4" s="3">
        <f t="shared" si="1"/>
        <v>51</v>
      </c>
      <c r="BD4" s="3">
        <f t="shared" si="1"/>
        <v>52</v>
      </c>
      <c r="BE4" s="3">
        <f t="shared" si="1"/>
        <v>53</v>
      </c>
      <c r="BF4" s="3">
        <f t="shared" si="1"/>
        <v>54</v>
      </c>
      <c r="BG4" s="3">
        <f t="shared" si="1"/>
        <v>55</v>
      </c>
      <c r="BH4" s="3">
        <f t="shared" si="1"/>
        <v>56</v>
      </c>
      <c r="BI4" s="3">
        <f t="shared" si="1"/>
        <v>57</v>
      </c>
      <c r="BJ4" s="3">
        <f t="shared" si="1"/>
        <v>58</v>
      </c>
      <c r="BK4" s="3">
        <f t="shared" si="1"/>
        <v>59</v>
      </c>
      <c r="BL4" s="3">
        <f t="shared" si="1"/>
        <v>60</v>
      </c>
      <c r="BM4" s="3">
        <f t="shared" si="1"/>
        <v>61</v>
      </c>
      <c r="BN4" s="3">
        <f t="shared" si="1"/>
        <v>62</v>
      </c>
      <c r="BO4" s="3">
        <f t="shared" si="1"/>
        <v>63</v>
      </c>
      <c r="BP4" s="3">
        <f t="shared" si="1"/>
        <v>64</v>
      </c>
      <c r="BQ4" s="3">
        <f t="shared" ref="BQ4:CV4" si="2">BP4+1</f>
        <v>65</v>
      </c>
      <c r="BR4" s="3">
        <f t="shared" si="2"/>
        <v>66</v>
      </c>
      <c r="BS4" s="3">
        <f t="shared" si="2"/>
        <v>67</v>
      </c>
      <c r="BT4" s="3">
        <f t="shared" si="2"/>
        <v>68</v>
      </c>
      <c r="BU4" s="3">
        <f t="shared" si="2"/>
        <v>69</v>
      </c>
      <c r="BV4" s="3">
        <f t="shared" si="2"/>
        <v>70</v>
      </c>
      <c r="BW4" s="3">
        <f t="shared" si="2"/>
        <v>71</v>
      </c>
      <c r="BX4" s="3">
        <f t="shared" si="2"/>
        <v>72</v>
      </c>
      <c r="BY4" s="3">
        <f t="shared" si="2"/>
        <v>73</v>
      </c>
      <c r="BZ4" s="3">
        <f t="shared" si="2"/>
        <v>74</v>
      </c>
      <c r="CA4" s="3">
        <f t="shared" si="2"/>
        <v>75</v>
      </c>
      <c r="CB4" s="3">
        <f t="shared" si="2"/>
        <v>76</v>
      </c>
      <c r="CC4" s="3">
        <f t="shared" si="2"/>
        <v>77</v>
      </c>
      <c r="CD4" s="3">
        <f t="shared" si="2"/>
        <v>78</v>
      </c>
      <c r="CE4" s="3">
        <f t="shared" si="2"/>
        <v>79</v>
      </c>
      <c r="CF4" s="3">
        <f t="shared" si="2"/>
        <v>80</v>
      </c>
      <c r="CG4" s="3">
        <f t="shared" si="2"/>
        <v>81</v>
      </c>
      <c r="CH4" s="3">
        <f t="shared" si="2"/>
        <v>82</v>
      </c>
      <c r="CI4" s="3">
        <f t="shared" si="2"/>
        <v>83</v>
      </c>
      <c r="CJ4" s="3">
        <f t="shared" si="2"/>
        <v>84</v>
      </c>
      <c r="CK4" s="3">
        <f t="shared" si="2"/>
        <v>85</v>
      </c>
      <c r="CL4" s="3">
        <f t="shared" si="2"/>
        <v>86</v>
      </c>
      <c r="CM4" s="3">
        <f t="shared" si="2"/>
        <v>87</v>
      </c>
      <c r="CN4" s="3">
        <f t="shared" si="2"/>
        <v>88</v>
      </c>
      <c r="CO4" s="3">
        <f t="shared" si="2"/>
        <v>89</v>
      </c>
      <c r="CP4" s="3">
        <f t="shared" si="2"/>
        <v>90</v>
      </c>
      <c r="CQ4" s="3">
        <f t="shared" si="2"/>
        <v>91</v>
      </c>
      <c r="CR4" s="3">
        <f t="shared" si="2"/>
        <v>92</v>
      </c>
      <c r="CS4" s="3">
        <f t="shared" si="2"/>
        <v>93</v>
      </c>
      <c r="CT4" s="3">
        <f t="shared" si="2"/>
        <v>94</v>
      </c>
      <c r="CU4" s="3">
        <f t="shared" si="2"/>
        <v>95</v>
      </c>
      <c r="CV4" s="3">
        <f t="shared" si="2"/>
        <v>96</v>
      </c>
      <c r="CW4" s="3">
        <f t="shared" ref="CW4:DZ4" si="3">CV4+1</f>
        <v>97</v>
      </c>
      <c r="CX4" s="3">
        <f t="shared" si="3"/>
        <v>98</v>
      </c>
      <c r="CY4" s="3">
        <f t="shared" si="3"/>
        <v>99</v>
      </c>
      <c r="CZ4" s="3">
        <f t="shared" si="3"/>
        <v>100</v>
      </c>
      <c r="DA4" s="3">
        <f t="shared" si="3"/>
        <v>101</v>
      </c>
      <c r="DB4" s="3">
        <f t="shared" si="3"/>
        <v>102</v>
      </c>
      <c r="DC4" s="3">
        <f t="shared" si="3"/>
        <v>103</v>
      </c>
      <c r="DD4" s="3">
        <f t="shared" si="3"/>
        <v>104</v>
      </c>
      <c r="DE4" s="3">
        <f t="shared" si="3"/>
        <v>105</v>
      </c>
      <c r="DF4" s="3">
        <f t="shared" si="3"/>
        <v>106</v>
      </c>
      <c r="DG4" s="3">
        <f t="shared" si="3"/>
        <v>107</v>
      </c>
      <c r="DH4" s="3">
        <f t="shared" si="3"/>
        <v>108</v>
      </c>
      <c r="DI4" s="3">
        <f t="shared" si="3"/>
        <v>109</v>
      </c>
      <c r="DJ4" s="3">
        <f t="shared" si="3"/>
        <v>110</v>
      </c>
      <c r="DK4" s="3">
        <f t="shared" si="3"/>
        <v>111</v>
      </c>
      <c r="DL4" s="3">
        <f t="shared" si="3"/>
        <v>112</v>
      </c>
      <c r="DM4" s="3">
        <f t="shared" si="3"/>
        <v>113</v>
      </c>
      <c r="DN4" s="3">
        <f t="shared" si="3"/>
        <v>114</v>
      </c>
      <c r="DO4" s="3">
        <f t="shared" si="3"/>
        <v>115</v>
      </c>
      <c r="DP4" s="3">
        <f t="shared" si="3"/>
        <v>116</v>
      </c>
      <c r="DQ4" s="3">
        <f t="shared" si="3"/>
        <v>117</v>
      </c>
      <c r="DR4" s="3">
        <f t="shared" si="3"/>
        <v>118</v>
      </c>
      <c r="DS4" s="3">
        <f t="shared" si="3"/>
        <v>119</v>
      </c>
      <c r="DT4" s="3">
        <f t="shared" si="3"/>
        <v>120</v>
      </c>
      <c r="DU4" s="3">
        <f t="shared" si="3"/>
        <v>121</v>
      </c>
      <c r="DV4" s="3">
        <f t="shared" si="3"/>
        <v>122</v>
      </c>
      <c r="DW4" s="3">
        <f t="shared" si="3"/>
        <v>123</v>
      </c>
      <c r="DX4" s="3">
        <f t="shared" si="3"/>
        <v>124</v>
      </c>
      <c r="DY4" s="3">
        <f t="shared" si="3"/>
        <v>125</v>
      </c>
      <c r="DZ4" s="3">
        <f t="shared" si="3"/>
        <v>126</v>
      </c>
    </row>
    <row r="5" spans="1:130">
      <c r="A5" s="2" t="s">
        <v>201</v>
      </c>
      <c r="B5" s="4" t="s">
        <v>165</v>
      </c>
      <c r="C5" s="2"/>
      <c r="D5" s="11">
        <v>0</v>
      </c>
      <c r="E5" s="11">
        <v>0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5.7499999999999999E-4</v>
      </c>
      <c r="T5" s="11">
        <v>5.7300000000000005E-4</v>
      </c>
      <c r="U5" s="11">
        <v>5.7200000000000003E-4</v>
      </c>
      <c r="V5" s="11">
        <v>5.6999999999999998E-4</v>
      </c>
      <c r="W5" s="11">
        <v>5.6899999999999995E-4</v>
      </c>
      <c r="X5" s="11">
        <v>5.6899999999999995E-4</v>
      </c>
      <c r="Y5" s="11">
        <v>5.6899999999999995E-4</v>
      </c>
      <c r="Z5" s="11">
        <v>5.6899999999999995E-4</v>
      </c>
      <c r="AA5" s="11">
        <v>5.6999999999999998E-4</v>
      </c>
      <c r="AB5" s="11">
        <v>5.7200000000000003E-4</v>
      </c>
      <c r="AC5" s="11">
        <v>5.7499999999999999E-4</v>
      </c>
      <c r="AD5" s="11">
        <v>5.7899999999999998E-4</v>
      </c>
      <c r="AE5" s="11">
        <v>5.8299999999999997E-4</v>
      </c>
      <c r="AF5" s="11">
        <v>5.8900000000000001E-4</v>
      </c>
      <c r="AG5" s="11">
        <v>5.9599999999999996E-4</v>
      </c>
      <c r="AH5" s="11">
        <v>6.0499999999999996E-4</v>
      </c>
      <c r="AI5" s="11">
        <v>6.1499999999999999E-4</v>
      </c>
      <c r="AJ5" s="11">
        <v>6.2799999999999998E-4</v>
      </c>
      <c r="AK5" s="11">
        <v>6.4300000000000002E-4</v>
      </c>
      <c r="AL5" s="11">
        <v>6.6E-4</v>
      </c>
      <c r="AM5" s="11">
        <v>6.8099999999999996E-4</v>
      </c>
      <c r="AN5" s="11">
        <v>7.0399999999999998E-4</v>
      </c>
      <c r="AO5" s="11">
        <v>7.3200000000000001E-4</v>
      </c>
      <c r="AP5" s="11">
        <v>7.6400000000000003E-4</v>
      </c>
      <c r="AQ5" s="11">
        <v>8.0099999999999995E-4</v>
      </c>
      <c r="AR5" s="11">
        <v>8.4400000000000002E-4</v>
      </c>
      <c r="AS5" s="11">
        <v>8.9300000000000002E-4</v>
      </c>
      <c r="AT5" s="11">
        <v>9.4899999999999997E-4</v>
      </c>
      <c r="AU5" s="11">
        <v>1.0139999999999999E-3</v>
      </c>
      <c r="AV5" s="11">
        <v>1.088E-3</v>
      </c>
      <c r="AW5" s="11">
        <v>1.1739999999999999E-3</v>
      </c>
      <c r="AX5" s="11">
        <v>1.271E-3</v>
      </c>
      <c r="AY5" s="11">
        <v>1.3829999999999999E-3</v>
      </c>
      <c r="AZ5" s="11">
        <v>1.511E-3</v>
      </c>
      <c r="BA5" s="11">
        <v>1.6570000000000001E-3</v>
      </c>
      <c r="BB5" s="11">
        <v>1.823E-3</v>
      </c>
      <c r="BC5" s="11">
        <v>2.0140000000000002E-3</v>
      </c>
      <c r="BD5" s="11">
        <v>2.2309999999999999E-3</v>
      </c>
      <c r="BE5" s="11">
        <v>2.4789999999999999E-3</v>
      </c>
      <c r="BF5" s="11">
        <v>2.7620000000000001E-3</v>
      </c>
      <c r="BG5" s="11">
        <v>3.0890000000000002E-3</v>
      </c>
      <c r="BH5" s="11">
        <v>3.4520000000000002E-3</v>
      </c>
      <c r="BI5" s="11">
        <v>3.872E-3</v>
      </c>
      <c r="BJ5" s="11">
        <v>4.3499999999999997E-3</v>
      </c>
      <c r="BK5" s="11">
        <v>4.895E-3</v>
      </c>
      <c r="BL5" s="11">
        <v>5.5160000000000001E-3</v>
      </c>
      <c r="BM5" s="11">
        <v>6.2230000000000002E-3</v>
      </c>
      <c r="BN5" s="11">
        <v>7.0289999999999997E-3</v>
      </c>
      <c r="BO5" s="11">
        <v>7.9469999999999992E-3</v>
      </c>
      <c r="BP5" s="11">
        <v>8.9929999999999993E-3</v>
      </c>
      <c r="BQ5" s="11">
        <v>1.0182999999999999E-2</v>
      </c>
      <c r="BR5" s="11">
        <v>1.1542E-2</v>
      </c>
      <c r="BS5" s="11">
        <v>1.3087E-2</v>
      </c>
      <c r="BT5" s="11">
        <v>1.4847000000000001E-2</v>
      </c>
      <c r="BU5" s="11">
        <v>1.6851999999999999E-2</v>
      </c>
      <c r="BV5" s="11">
        <v>1.9134999999999999E-2</v>
      </c>
      <c r="BW5" s="11">
        <v>2.1734E-2</v>
      </c>
      <c r="BX5" s="11">
        <v>2.4695000000000002E-2</v>
      </c>
      <c r="BY5" s="11">
        <v>2.8066000000000001E-2</v>
      </c>
      <c r="BZ5" s="11">
        <v>3.1904000000000002E-2</v>
      </c>
      <c r="CA5" s="11">
        <v>3.6275000000000002E-2</v>
      </c>
      <c r="CB5" s="11">
        <v>4.1251999999999997E-2</v>
      </c>
      <c r="CC5" s="11">
        <v>4.6919000000000002E-2</v>
      </c>
      <c r="CD5" s="11">
        <v>5.5370999999999997E-2</v>
      </c>
      <c r="CE5" s="11">
        <v>6.0718000000000001E-2</v>
      </c>
      <c r="CF5" s="11">
        <v>6.9084000000000007E-2</v>
      </c>
      <c r="CG5" s="11">
        <v>7.8607999999999997E-2</v>
      </c>
      <c r="CH5" s="11">
        <v>8.9453000000000005E-2</v>
      </c>
      <c r="CI5" s="11">
        <v>0.1018</v>
      </c>
      <c r="CJ5" s="11">
        <v>0.115859</v>
      </c>
      <c r="CK5" s="11">
        <v>0.13180500000000001</v>
      </c>
      <c r="CL5" s="11">
        <v>0.15009</v>
      </c>
      <c r="CM5" s="11">
        <v>0.17083999999999999</v>
      </c>
      <c r="CN5" s="11">
        <v>0.194465</v>
      </c>
      <c r="CO5" s="11">
        <v>0.221363</v>
      </c>
      <c r="CP5" s="11">
        <v>0.25198799999999999</v>
      </c>
      <c r="CQ5" s="11"/>
      <c r="CR5" s="11"/>
      <c r="CS5" s="11"/>
      <c r="CT5" s="11"/>
      <c r="CU5" s="11"/>
      <c r="CV5" s="11"/>
      <c r="CW5" s="11"/>
      <c r="CX5" s="11"/>
      <c r="CY5" s="11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</row>
    <row r="6" spans="1:130">
      <c r="A6" s="17" t="s">
        <v>201</v>
      </c>
      <c r="B6" s="16" t="s">
        <v>181</v>
      </c>
      <c r="C6" s="17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>
        <v>5.8699999999999996E-4</v>
      </c>
      <c r="T6" s="18">
        <v>5.8399999999999999E-4</v>
      </c>
      <c r="U6" s="18">
        <v>5.8100000000000003E-4</v>
      </c>
      <c r="V6" s="18">
        <v>5.7799999999999995E-4</v>
      </c>
      <c r="W6" s="18">
        <v>5.7499999999999999E-4</v>
      </c>
      <c r="X6" s="18">
        <v>5.7399999999999997E-4</v>
      </c>
      <c r="Y6" s="18">
        <v>5.7200000000000003E-4</v>
      </c>
      <c r="Z6" s="18">
        <v>5.71E-4</v>
      </c>
      <c r="AA6" s="18">
        <v>5.6999999999999998E-4</v>
      </c>
      <c r="AB6" s="18">
        <v>5.6999999999999998E-4</v>
      </c>
      <c r="AC6" s="18">
        <v>5.71E-4</v>
      </c>
      <c r="AD6" s="18">
        <v>5.7300000000000005E-4</v>
      </c>
      <c r="AE6" s="18">
        <v>5.7700000000000004E-4</v>
      </c>
      <c r="AF6" s="18">
        <v>5.8200000000000005E-4</v>
      </c>
      <c r="AG6" s="18">
        <v>5.8600000000000004E-4</v>
      </c>
      <c r="AH6" s="18">
        <v>5.9199999999999997E-4</v>
      </c>
      <c r="AI6" s="18">
        <v>6.0099999999999997E-4</v>
      </c>
      <c r="AJ6" s="18">
        <v>6.1300000000000005E-4</v>
      </c>
      <c r="AK6" s="18">
        <v>6.29E-4</v>
      </c>
      <c r="AL6" s="18">
        <v>6.4800000000000003E-4</v>
      </c>
      <c r="AM6" s="18">
        <v>6.7199999999999996E-4</v>
      </c>
      <c r="AN6" s="18">
        <v>7.0100000000000002E-4</v>
      </c>
      <c r="AO6" s="18">
        <v>7.3499999999999998E-4</v>
      </c>
      <c r="AP6" s="18">
        <v>7.7499999999999997E-4</v>
      </c>
      <c r="AQ6" s="18">
        <v>8.1899999999999996E-4</v>
      </c>
      <c r="AR6" s="18">
        <v>8.6899999999999998E-4</v>
      </c>
      <c r="AS6" s="18">
        <v>9.2400000000000002E-4</v>
      </c>
      <c r="AT6" s="18">
        <v>9.8499999999999998E-4</v>
      </c>
      <c r="AU6" s="18">
        <v>1.0510000000000001E-3</v>
      </c>
      <c r="AV6" s="18">
        <v>1.1230000000000001E-3</v>
      </c>
      <c r="AW6" s="18">
        <v>1.2030000000000001E-3</v>
      </c>
      <c r="AX6" s="18">
        <v>1.2930000000000001E-3</v>
      </c>
      <c r="AY6" s="18">
        <v>1.392E-3</v>
      </c>
      <c r="AZ6" s="18">
        <v>1.505E-3</v>
      </c>
      <c r="BA6" s="18">
        <v>1.632E-3</v>
      </c>
      <c r="BB6" s="18">
        <v>1.7769999999999999E-3</v>
      </c>
      <c r="BC6" s="18">
        <v>1.9400000000000001E-3</v>
      </c>
      <c r="BD6" s="18">
        <v>2.127E-3</v>
      </c>
      <c r="BE6" s="18">
        <v>2.3419999999999999E-3</v>
      </c>
      <c r="BF6" s="18">
        <v>2.5969999999999999E-3</v>
      </c>
      <c r="BG6" s="18">
        <v>2.898E-3</v>
      </c>
      <c r="BH6" s="18">
        <v>3.2629999999999998E-3</v>
      </c>
      <c r="BI6" s="18">
        <v>3.7060000000000001E-3</v>
      </c>
      <c r="BJ6" s="18">
        <v>4.248E-3</v>
      </c>
      <c r="BK6" s="18">
        <v>4.9109999999999996E-3</v>
      </c>
      <c r="BL6" s="18">
        <v>5.7190000000000001E-3</v>
      </c>
      <c r="BM6" s="18">
        <v>6.705E-3</v>
      </c>
      <c r="BN6" s="18">
        <v>7.8969999999999995E-3</v>
      </c>
      <c r="BO6" s="18">
        <v>9.3340000000000003E-3</v>
      </c>
      <c r="BP6" s="18">
        <v>1.1069000000000001E-2</v>
      </c>
      <c r="BQ6" s="18">
        <v>1.3172E-2</v>
      </c>
      <c r="BR6" s="18">
        <v>1.5675000000000001E-2</v>
      </c>
      <c r="BS6" s="18">
        <v>1.8652999999999999E-2</v>
      </c>
      <c r="BT6" s="18">
        <v>2.2197000000000001E-2</v>
      </c>
      <c r="BU6" s="18">
        <v>2.6414E-2</v>
      </c>
      <c r="BV6" s="18">
        <v>3.1433000000000003E-2</v>
      </c>
      <c r="BW6" s="18">
        <v>3.7406000000000002E-2</v>
      </c>
      <c r="BX6" s="18">
        <v>4.4512999999999997E-2</v>
      </c>
      <c r="BY6" s="18">
        <v>5.2970000000000003E-2</v>
      </c>
      <c r="BZ6" s="18">
        <v>6.3034000000000007E-2</v>
      </c>
      <c r="CA6" s="18">
        <v>7.5010999999999994E-2</v>
      </c>
      <c r="CB6" s="18">
        <v>8.9262999999999995E-2</v>
      </c>
      <c r="CC6" s="18">
        <v>0.106223</v>
      </c>
      <c r="CD6" s="18">
        <v>0.12640499999999999</v>
      </c>
      <c r="CE6" s="18">
        <v>0.150423</v>
      </c>
      <c r="CF6" s="18">
        <v>0.179003</v>
      </c>
      <c r="CG6" s="18">
        <v>0.21301300000000001</v>
      </c>
      <c r="CH6" s="18">
        <v>0.25348599999999999</v>
      </c>
      <c r="CI6" s="18">
        <v>0.30164800000000003</v>
      </c>
      <c r="CJ6" s="18">
        <v>0.35896099999999997</v>
      </c>
      <c r="CK6" s="18">
        <v>0.42716399999999999</v>
      </c>
      <c r="CL6" s="18">
        <v>0.50832500000000003</v>
      </c>
      <c r="CM6" s="18">
        <v>0.60490699999999997</v>
      </c>
      <c r="CN6" s="18">
        <v>0.71983900000000001</v>
      </c>
      <c r="CO6" s="18">
        <v>0.85660899999999995</v>
      </c>
      <c r="CP6" s="18">
        <v>1</v>
      </c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</row>
    <row r="7" spans="1:130">
      <c r="A7" s="2" t="s">
        <v>201</v>
      </c>
      <c r="B7" s="4" t="s">
        <v>175</v>
      </c>
      <c r="C7" s="2"/>
      <c r="D7" s="11" t="s">
        <v>206</v>
      </c>
      <c r="E7" s="11" t="s">
        <v>206</v>
      </c>
      <c r="F7" s="11" t="s">
        <v>206</v>
      </c>
      <c r="G7" s="11" t="s">
        <v>206</v>
      </c>
      <c r="H7" s="11" t="s">
        <v>206</v>
      </c>
      <c r="I7" s="11" t="s">
        <v>206</v>
      </c>
      <c r="J7" s="11" t="s">
        <v>206</v>
      </c>
      <c r="K7" s="11" t="s">
        <v>206</v>
      </c>
      <c r="L7" s="11" t="s">
        <v>206</v>
      </c>
      <c r="M7" s="11" t="s">
        <v>206</v>
      </c>
      <c r="N7" s="11" t="s">
        <v>206</v>
      </c>
      <c r="O7" s="11" t="s">
        <v>206</v>
      </c>
      <c r="P7" s="11" t="s">
        <v>206</v>
      </c>
      <c r="Q7" s="11" t="s">
        <v>206</v>
      </c>
      <c r="R7" s="11" t="s">
        <v>206</v>
      </c>
      <c r="S7" s="11">
        <v>3.1E-4</v>
      </c>
      <c r="T7" s="11">
        <v>3.2000000000000003E-4</v>
      </c>
      <c r="U7" s="11">
        <v>3.3E-4</v>
      </c>
      <c r="V7" s="11">
        <v>3.5E-4</v>
      </c>
      <c r="W7" s="11">
        <v>3.8000000000000002E-4</v>
      </c>
      <c r="X7" s="11">
        <v>4.0000000000000002E-4</v>
      </c>
      <c r="Y7" s="11">
        <v>4.2999999999999999E-4</v>
      </c>
      <c r="Z7" s="11">
        <v>4.6000000000000001E-4</v>
      </c>
      <c r="AA7" s="11">
        <v>4.8999999999999998E-4</v>
      </c>
      <c r="AB7" s="11">
        <v>5.1999999999999995E-4</v>
      </c>
      <c r="AC7" s="11">
        <v>5.4000000000000001E-4</v>
      </c>
      <c r="AD7" s="11">
        <v>5.5999999999999995E-4</v>
      </c>
      <c r="AE7" s="11">
        <v>5.8E-4</v>
      </c>
      <c r="AF7" s="11">
        <v>5.9999999999999995E-4</v>
      </c>
      <c r="AG7" s="11">
        <v>6.0999999999999997E-4</v>
      </c>
      <c r="AH7" s="11">
        <v>6.0999999999999997E-4</v>
      </c>
      <c r="AI7" s="11">
        <v>6.2E-4</v>
      </c>
      <c r="AJ7" s="11">
        <v>6.3000000000000003E-4</v>
      </c>
      <c r="AK7" s="11">
        <v>6.3000000000000003E-4</v>
      </c>
      <c r="AL7" s="11">
        <v>6.3000000000000003E-4</v>
      </c>
      <c r="AM7" s="11">
        <v>6.4000000000000005E-4</v>
      </c>
      <c r="AN7" s="11">
        <v>6.4999999999999997E-4</v>
      </c>
      <c r="AO7" s="11">
        <v>6.6E-4</v>
      </c>
      <c r="AP7" s="11">
        <v>6.8000000000000005E-4</v>
      </c>
      <c r="AQ7" s="11">
        <v>6.9999999999999999E-4</v>
      </c>
      <c r="AR7" s="11">
        <v>7.2000000000000005E-4</v>
      </c>
      <c r="AS7" s="11">
        <v>7.6000000000000004E-4</v>
      </c>
      <c r="AT7" s="11">
        <v>8.0000000000000004E-4</v>
      </c>
      <c r="AU7" s="11">
        <v>8.4000000000000003E-4</v>
      </c>
      <c r="AV7" s="11">
        <v>8.8999999999999995E-4</v>
      </c>
      <c r="AW7" s="11">
        <v>9.3999999999999997E-4</v>
      </c>
      <c r="AX7" s="11">
        <v>1E-3</v>
      </c>
      <c r="AY7" s="11">
        <v>1.07E-3</v>
      </c>
      <c r="AZ7" s="11">
        <v>1.16E-3</v>
      </c>
      <c r="BA7" s="11">
        <v>1.25E-3</v>
      </c>
      <c r="BB7" s="11">
        <v>1.3600000000000001E-3</v>
      </c>
      <c r="BC7" s="11">
        <v>1.48E-3</v>
      </c>
      <c r="BD7" s="11">
        <v>1.6100000000000001E-3</v>
      </c>
      <c r="BE7" s="11">
        <v>1.75E-3</v>
      </c>
      <c r="BF7" s="11">
        <v>1.91E-3</v>
      </c>
      <c r="BG7" s="11">
        <v>2.0799999999999998E-3</v>
      </c>
      <c r="BH7" s="11">
        <v>2.2599999999999999E-3</v>
      </c>
      <c r="BI7" s="11">
        <v>2.4499999999999999E-3</v>
      </c>
      <c r="BJ7" s="11">
        <v>2.6700000000000001E-3</v>
      </c>
      <c r="BK7" s="11">
        <v>2.8900000000000002E-3</v>
      </c>
      <c r="BL7" s="11">
        <v>3.15E-3</v>
      </c>
      <c r="BM7" s="11">
        <v>3.4499999999999999E-3</v>
      </c>
      <c r="BN7" s="11">
        <v>3.8E-3</v>
      </c>
      <c r="BO7" s="11">
        <v>4.2100000000000002E-3</v>
      </c>
      <c r="BP7" s="11">
        <v>4.7400000000000003E-3</v>
      </c>
      <c r="BQ7" s="11">
        <v>5.4200000000000003E-3</v>
      </c>
      <c r="BR7" s="11">
        <v>6.28E-3</v>
      </c>
      <c r="BS7" s="11">
        <v>7.3000000000000001E-3</v>
      </c>
      <c r="BT7" s="11">
        <v>8.8000000000000005E-3</v>
      </c>
      <c r="BU7" s="11">
        <v>1.057E-2</v>
      </c>
      <c r="BV7" s="11">
        <v>1.2840000000000001E-2</v>
      </c>
      <c r="BW7" s="11">
        <v>1.575E-2</v>
      </c>
      <c r="BX7" s="11">
        <v>1.9359999999999999E-2</v>
      </c>
      <c r="BY7" s="11">
        <v>2.3859999999999999E-2</v>
      </c>
      <c r="BZ7" s="11">
        <v>2.9239999999999999E-2</v>
      </c>
      <c r="CA7" s="11">
        <v>3.5369999999999999E-2</v>
      </c>
      <c r="CB7" s="11">
        <v>4.0140000000000002E-2</v>
      </c>
      <c r="CC7" s="11">
        <v>4.4010000000000001E-2</v>
      </c>
      <c r="CD7" s="11">
        <v>4.6670000000000003E-2</v>
      </c>
      <c r="CE7" s="11">
        <v>4.9419999999999999E-2</v>
      </c>
      <c r="CF7" s="11" t="s">
        <v>206</v>
      </c>
      <c r="CG7" s="11" t="s">
        <v>206</v>
      </c>
      <c r="CH7" s="11" t="s">
        <v>206</v>
      </c>
      <c r="CI7" s="11" t="s">
        <v>206</v>
      </c>
      <c r="CJ7" s="11" t="s">
        <v>206</v>
      </c>
      <c r="CK7" s="11" t="s">
        <v>206</v>
      </c>
      <c r="CL7" s="11" t="s">
        <v>206</v>
      </c>
      <c r="CM7" s="11" t="s">
        <v>206</v>
      </c>
      <c r="CN7" s="11" t="s">
        <v>206</v>
      </c>
      <c r="CO7" s="11" t="s">
        <v>206</v>
      </c>
      <c r="CP7" s="11" t="s">
        <v>206</v>
      </c>
      <c r="CQ7" s="11" t="s">
        <v>206</v>
      </c>
      <c r="CR7" s="11" t="s">
        <v>206</v>
      </c>
      <c r="CS7" s="11" t="s">
        <v>206</v>
      </c>
      <c r="CT7" s="11" t="s">
        <v>206</v>
      </c>
      <c r="CU7" s="11" t="s">
        <v>206</v>
      </c>
      <c r="CV7" s="11" t="s">
        <v>206</v>
      </c>
      <c r="CW7" s="11" t="s">
        <v>206</v>
      </c>
      <c r="CX7" s="11" t="s">
        <v>206</v>
      </c>
      <c r="CY7" s="11" t="s">
        <v>206</v>
      </c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</row>
    <row r="8" spans="1:130">
      <c r="A8" s="28" t="s">
        <v>201</v>
      </c>
      <c r="B8" s="27" t="s">
        <v>167</v>
      </c>
      <c r="C8" s="28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>
        <v>4.7000000000000002E-3</v>
      </c>
      <c r="T8" s="23">
        <v>4.62E-3</v>
      </c>
      <c r="U8" s="23">
        <v>4.5500000000000002E-3</v>
      </c>
      <c r="V8" s="23">
        <v>4.4799999999999996E-3</v>
      </c>
      <c r="W8" s="23">
        <v>4.4099999999999999E-3</v>
      </c>
      <c r="X8" s="23">
        <v>4.3499999999999997E-3</v>
      </c>
      <c r="Y8" s="23">
        <v>4.3E-3</v>
      </c>
      <c r="Z8" s="23">
        <v>4.2399999999999998E-3</v>
      </c>
      <c r="AA8" s="23">
        <v>4.1999999999999997E-3</v>
      </c>
      <c r="AB8" s="23">
        <v>4.15E-3</v>
      </c>
      <c r="AC8" s="23">
        <v>4.1200000000000004E-3</v>
      </c>
      <c r="AD8" s="23">
        <v>4.0899999999999999E-3</v>
      </c>
      <c r="AE8" s="23">
        <v>4.0699999999999998E-3</v>
      </c>
      <c r="AF8" s="23">
        <v>4.0499999999999998E-3</v>
      </c>
      <c r="AG8" s="23">
        <v>4.0400000000000002E-3</v>
      </c>
      <c r="AH8" s="23">
        <v>4.0499999999999998E-3</v>
      </c>
      <c r="AI8" s="23">
        <v>4.0600000000000002E-3</v>
      </c>
      <c r="AJ8" s="23">
        <v>4.0800000000000003E-3</v>
      </c>
      <c r="AK8" s="23">
        <v>4.1099999999999999E-3</v>
      </c>
      <c r="AL8" s="23">
        <v>4.1599999999999996E-3</v>
      </c>
      <c r="AM8" s="23">
        <v>4.2100000000000002E-3</v>
      </c>
      <c r="AN8" s="23">
        <v>4.28E-3</v>
      </c>
      <c r="AO8" s="23">
        <v>4.3699999999999998E-3</v>
      </c>
      <c r="AP8" s="23">
        <v>4.47E-3</v>
      </c>
      <c r="AQ8" s="23">
        <v>4.5900000000000003E-3</v>
      </c>
      <c r="AR8" s="23">
        <v>4.7299999999999998E-3</v>
      </c>
      <c r="AS8" s="23">
        <v>4.8900000000000002E-3</v>
      </c>
      <c r="AT8" s="23">
        <v>5.0800000000000003E-3</v>
      </c>
      <c r="AU8" s="23">
        <v>5.28E-3</v>
      </c>
      <c r="AV8" s="23">
        <v>5.5199999999999997E-3</v>
      </c>
      <c r="AW8" s="23">
        <v>5.7800000000000004E-3</v>
      </c>
      <c r="AX8" s="23">
        <v>6.0699999999999999E-3</v>
      </c>
      <c r="AY8" s="23">
        <v>6.4000000000000003E-3</v>
      </c>
      <c r="AZ8" s="23">
        <v>6.7600000000000004E-3</v>
      </c>
      <c r="BA8" s="23">
        <v>7.1500000000000001E-3</v>
      </c>
      <c r="BB8" s="23">
        <v>7.6E-3</v>
      </c>
      <c r="BC8" s="23">
        <v>8.09E-3</v>
      </c>
      <c r="BD8" s="23">
        <v>8.6199999999999992E-3</v>
      </c>
      <c r="BE8" s="23">
        <v>9.2099999999999994E-3</v>
      </c>
      <c r="BF8" s="23">
        <v>9.8600000000000007E-3</v>
      </c>
      <c r="BG8" s="23">
        <v>1.057E-2</v>
      </c>
      <c r="BH8" s="23">
        <v>1.1339999999999999E-2</v>
      </c>
      <c r="BI8" s="23">
        <v>1.2189999999999999E-2</v>
      </c>
      <c r="BJ8" s="23">
        <v>1.312E-2</v>
      </c>
      <c r="BK8" s="23">
        <v>1.413E-2</v>
      </c>
      <c r="BL8" s="23">
        <v>1.5219999999999999E-2</v>
      </c>
      <c r="BM8" s="23">
        <v>1.6389999999999998E-2</v>
      </c>
      <c r="BN8" s="23">
        <v>1.7639999999999999E-2</v>
      </c>
      <c r="BO8" s="23">
        <v>1.8970000000000001E-2</v>
      </c>
      <c r="BP8" s="23">
        <v>2.0379999999999999E-2</v>
      </c>
      <c r="BQ8" s="23">
        <v>2.1870000000000001E-2</v>
      </c>
      <c r="BR8" s="23">
        <v>2.3439999999999999E-2</v>
      </c>
      <c r="BS8" s="23">
        <v>2.5090000000000001E-2</v>
      </c>
      <c r="BT8" s="23">
        <v>2.682E-2</v>
      </c>
      <c r="BU8" s="23">
        <v>2.8629999999999999E-2</v>
      </c>
      <c r="BV8" s="23">
        <v>3.0519999999999999E-2</v>
      </c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</row>
    <row r="9" spans="1:130">
      <c r="A9" s="28" t="s">
        <v>201</v>
      </c>
      <c r="B9" s="27" t="s">
        <v>178</v>
      </c>
      <c r="C9" s="28"/>
      <c r="D9" s="23">
        <v>7.1000000000000004E-3</v>
      </c>
      <c r="E9" s="23">
        <v>6.8700000000000002E-3</v>
      </c>
      <c r="F9" s="23">
        <v>6.6499999999999997E-3</v>
      </c>
      <c r="G9" s="23">
        <v>6.4400000000000004E-3</v>
      </c>
      <c r="H9" s="23">
        <v>6.2399999999999999E-3</v>
      </c>
      <c r="I9" s="23">
        <v>6.0499999999999998E-3</v>
      </c>
      <c r="J9" s="23">
        <v>5.8700000000000002E-3</v>
      </c>
      <c r="K9" s="23">
        <v>5.7000000000000002E-3</v>
      </c>
      <c r="L9" s="23">
        <v>5.5399999999999998E-3</v>
      </c>
      <c r="M9" s="23">
        <v>5.3899999999999998E-3</v>
      </c>
      <c r="N9" s="23">
        <v>5.2500000000000003E-3</v>
      </c>
      <c r="O9" s="23">
        <v>5.1200000000000004E-3</v>
      </c>
      <c r="P9" s="23">
        <v>5.0000000000000001E-3</v>
      </c>
      <c r="Q9" s="23">
        <v>4.8900000000000002E-3</v>
      </c>
      <c r="R9" s="23">
        <v>4.79E-3</v>
      </c>
      <c r="S9" s="23">
        <v>4.7000000000000002E-3</v>
      </c>
      <c r="T9" s="23">
        <v>4.62E-3</v>
      </c>
      <c r="U9" s="23">
        <v>4.5500000000000002E-3</v>
      </c>
      <c r="V9" s="23">
        <v>4.4799999999999996E-3</v>
      </c>
      <c r="W9" s="23">
        <v>4.4099999999999999E-3</v>
      </c>
      <c r="X9" s="23">
        <v>4.3499999999999997E-3</v>
      </c>
      <c r="Y9" s="23">
        <v>4.3E-3</v>
      </c>
      <c r="Z9" s="23">
        <v>4.2399999999999998E-3</v>
      </c>
      <c r="AA9" s="23">
        <v>4.1999999999999997E-3</v>
      </c>
      <c r="AB9" s="23">
        <v>4.15E-3</v>
      </c>
      <c r="AC9" s="23">
        <v>4.1200000000000004E-3</v>
      </c>
      <c r="AD9" s="23">
        <v>4.0899999999999999E-3</v>
      </c>
      <c r="AE9" s="23">
        <v>4.0699999999999998E-3</v>
      </c>
      <c r="AF9" s="23">
        <v>4.0499999999999998E-3</v>
      </c>
      <c r="AG9" s="23">
        <v>4.0400000000000002E-3</v>
      </c>
      <c r="AH9" s="23">
        <v>4.0499999999999998E-3</v>
      </c>
      <c r="AI9" s="23">
        <v>4.0600000000000002E-3</v>
      </c>
      <c r="AJ9" s="23">
        <v>4.0800000000000003E-3</v>
      </c>
      <c r="AK9" s="23">
        <v>4.1099999999999999E-3</v>
      </c>
      <c r="AL9" s="23">
        <v>4.1599999999999996E-3</v>
      </c>
      <c r="AM9" s="23">
        <v>4.2100000000000002E-3</v>
      </c>
      <c r="AN9" s="23">
        <v>4.28E-3</v>
      </c>
      <c r="AO9" s="23">
        <v>4.3699999999999998E-3</v>
      </c>
      <c r="AP9" s="23">
        <v>4.47E-3</v>
      </c>
      <c r="AQ9" s="23">
        <v>4.5900000000000003E-3</v>
      </c>
      <c r="AR9" s="23">
        <v>4.7299999999999998E-3</v>
      </c>
      <c r="AS9" s="23">
        <v>4.8900000000000002E-3</v>
      </c>
      <c r="AT9" s="23">
        <v>5.0800000000000003E-3</v>
      </c>
      <c r="AU9" s="23">
        <v>5.28E-3</v>
      </c>
      <c r="AV9" s="23">
        <v>5.5199999999999997E-3</v>
      </c>
      <c r="AW9" s="23">
        <v>5.7800000000000004E-3</v>
      </c>
      <c r="AX9" s="23">
        <v>6.0699999999999999E-3</v>
      </c>
      <c r="AY9" s="23">
        <v>6.4000000000000003E-3</v>
      </c>
      <c r="AZ9" s="23">
        <v>6.7600000000000004E-3</v>
      </c>
      <c r="BA9" s="23">
        <v>7.1500000000000001E-3</v>
      </c>
      <c r="BB9" s="23">
        <v>7.6E-3</v>
      </c>
      <c r="BC9" s="23">
        <v>8.09E-3</v>
      </c>
      <c r="BD9" s="23">
        <v>8.6199999999999992E-3</v>
      </c>
      <c r="BE9" s="23">
        <v>9.2099999999999994E-3</v>
      </c>
      <c r="BF9" s="23">
        <v>9.8600000000000007E-3</v>
      </c>
      <c r="BG9" s="23">
        <v>1.057E-2</v>
      </c>
      <c r="BH9" s="23">
        <v>1.1339999999999999E-2</v>
      </c>
      <c r="BI9" s="23">
        <v>1.2189999999999999E-2</v>
      </c>
      <c r="BJ9" s="23">
        <v>1.312E-2</v>
      </c>
      <c r="BK9" s="23">
        <v>1.413E-2</v>
      </c>
      <c r="BL9" s="23">
        <v>1.5219999999999999E-2</v>
      </c>
      <c r="BM9" s="23">
        <v>1.6389999999999998E-2</v>
      </c>
      <c r="BN9" s="23">
        <v>1.7639999999999999E-2</v>
      </c>
      <c r="BO9" s="23">
        <v>1.8970000000000001E-2</v>
      </c>
      <c r="BP9" s="23">
        <v>2.0379999999999999E-2</v>
      </c>
      <c r="BQ9" s="23">
        <v>2.1870000000000001E-2</v>
      </c>
      <c r="BR9" s="23">
        <v>2.3439999999999999E-2</v>
      </c>
      <c r="BS9" s="23">
        <v>2.5090000000000001E-2</v>
      </c>
      <c r="BT9" s="23">
        <v>2.682E-2</v>
      </c>
      <c r="BU9" s="23">
        <v>2.8629999999999999E-2</v>
      </c>
      <c r="BV9" s="23">
        <v>3.0519999999999999E-2</v>
      </c>
      <c r="BW9" s="23">
        <v>3.2489999999999998E-2</v>
      </c>
      <c r="BX9" s="23">
        <v>3.4540000000000001E-2</v>
      </c>
      <c r="BY9" s="23">
        <v>3.6670000000000001E-2</v>
      </c>
      <c r="BZ9" s="23">
        <v>3.8879999999999998E-2</v>
      </c>
      <c r="CA9" s="23">
        <v>4.1169999999999998E-2</v>
      </c>
      <c r="CB9" s="23">
        <v>4.3540000000000002E-2</v>
      </c>
      <c r="CC9" s="23">
        <v>4.5990000000000003E-2</v>
      </c>
      <c r="CD9" s="23">
        <v>4.8520000000000001E-2</v>
      </c>
      <c r="CE9" s="23">
        <v>5.1130000000000002E-2</v>
      </c>
      <c r="CF9" s="23">
        <v>5.382E-2</v>
      </c>
      <c r="CG9" s="23">
        <v>5.6590000000000001E-2</v>
      </c>
      <c r="CH9" s="23">
        <v>5.944E-2</v>
      </c>
      <c r="CI9" s="23">
        <v>6.2370000000000002E-2</v>
      </c>
      <c r="CJ9" s="23">
        <v>6.5379999999999994E-2</v>
      </c>
      <c r="CK9" s="23">
        <v>6.8470000000000003E-2</v>
      </c>
      <c r="CL9" s="23">
        <v>7.1650000000000005E-2</v>
      </c>
      <c r="CM9" s="23">
        <v>7.492E-2</v>
      </c>
      <c r="CN9" s="23">
        <v>7.8329999999999997E-2</v>
      </c>
      <c r="CO9" s="23">
        <v>8.2030000000000006E-2</v>
      </c>
      <c r="CP9" s="23">
        <v>8.652E-2</v>
      </c>
      <c r="CQ9" s="23">
        <v>9.3420000000000003E-2</v>
      </c>
      <c r="CR9" s="23">
        <v>0.10779</v>
      </c>
      <c r="CS9" s="23">
        <v>0.1449</v>
      </c>
      <c r="CT9" s="23">
        <v>0.24972</v>
      </c>
      <c r="CU9" s="23">
        <v>0.55227999999999999</v>
      </c>
      <c r="CV9" s="23">
        <v>0.85484000000000004</v>
      </c>
      <c r="CW9" s="23">
        <v>0.95965999999999996</v>
      </c>
      <c r="CX9" s="23">
        <v>0.99212999999999996</v>
      </c>
      <c r="CY9" s="23">
        <v>1</v>
      </c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  <c r="DT9" s="23"/>
      <c r="DU9" s="23"/>
      <c r="DV9" s="23"/>
      <c r="DW9" s="23"/>
      <c r="DX9" s="23"/>
      <c r="DY9" s="23"/>
      <c r="DZ9" s="23"/>
    </row>
    <row r="10" spans="1:130">
      <c r="A10" s="17" t="s">
        <v>201</v>
      </c>
      <c r="B10" s="16" t="s">
        <v>159</v>
      </c>
      <c r="C10" s="17"/>
      <c r="D10" s="19">
        <v>0.2762</v>
      </c>
      <c r="E10" s="19">
        <v>0.2762</v>
      </c>
      <c r="F10" s="19">
        <v>0.2762</v>
      </c>
      <c r="G10" s="19">
        <v>0.2762</v>
      </c>
      <c r="H10" s="19">
        <v>0.2762</v>
      </c>
      <c r="I10" s="19">
        <v>0.2762</v>
      </c>
      <c r="J10" s="19">
        <v>0.2762</v>
      </c>
      <c r="K10" s="19">
        <v>0.2762</v>
      </c>
      <c r="L10" s="19">
        <v>0.2762</v>
      </c>
      <c r="M10" s="19">
        <v>0.2762</v>
      </c>
      <c r="N10" s="19">
        <v>0.2762</v>
      </c>
      <c r="O10" s="19">
        <v>0.2762</v>
      </c>
      <c r="P10" s="19">
        <v>0.2762</v>
      </c>
      <c r="Q10" s="19">
        <v>0.2762</v>
      </c>
      <c r="R10" s="19">
        <v>0.2762</v>
      </c>
      <c r="S10" s="19">
        <v>0.2762</v>
      </c>
      <c r="T10" s="19">
        <v>0.22309999999999999</v>
      </c>
      <c r="U10" s="19">
        <v>0.1825</v>
      </c>
      <c r="V10" s="19">
        <v>0.1467</v>
      </c>
      <c r="W10" s="19">
        <v>0.1174</v>
      </c>
      <c r="X10" s="19">
        <v>9.6699999999999994E-2</v>
      </c>
      <c r="Y10" s="19">
        <v>8.2400000000000001E-2</v>
      </c>
      <c r="Z10" s="19">
        <v>7.2800000000000004E-2</v>
      </c>
      <c r="AA10" s="19">
        <v>6.6500000000000004E-2</v>
      </c>
      <c r="AB10" s="19">
        <v>6.2E-2</v>
      </c>
      <c r="AC10" s="19">
        <v>6.0600000000000001E-2</v>
      </c>
      <c r="AD10" s="19">
        <v>5.9700000000000003E-2</v>
      </c>
      <c r="AE10" s="19">
        <v>5.8799999999999998E-2</v>
      </c>
      <c r="AF10" s="19">
        <v>5.8000000000000003E-2</v>
      </c>
      <c r="AG10" s="19">
        <v>5.7299999999999997E-2</v>
      </c>
      <c r="AH10" s="19">
        <v>5.6500000000000002E-2</v>
      </c>
      <c r="AI10" s="19">
        <v>5.5800000000000002E-2</v>
      </c>
      <c r="AJ10" s="19">
        <v>5.5E-2</v>
      </c>
      <c r="AK10" s="19">
        <v>5.4300000000000001E-2</v>
      </c>
      <c r="AL10" s="19">
        <v>5.3600000000000002E-2</v>
      </c>
      <c r="AM10" s="19">
        <v>5.3199999999999997E-2</v>
      </c>
      <c r="AN10" s="19">
        <v>5.28E-2</v>
      </c>
      <c r="AO10" s="19">
        <v>5.2299999999999999E-2</v>
      </c>
      <c r="AP10" s="19">
        <v>5.1900000000000002E-2</v>
      </c>
      <c r="AQ10" s="19">
        <v>5.1400000000000001E-2</v>
      </c>
      <c r="AR10" s="19">
        <v>5.0999999999999997E-2</v>
      </c>
      <c r="AS10" s="19">
        <v>5.0900000000000001E-2</v>
      </c>
      <c r="AT10" s="19">
        <v>5.0799999999999998E-2</v>
      </c>
      <c r="AU10" s="19">
        <v>5.0700000000000002E-2</v>
      </c>
      <c r="AV10" s="19">
        <v>5.0599999999999999E-2</v>
      </c>
      <c r="AW10" s="19">
        <v>5.0500000000000003E-2</v>
      </c>
      <c r="AX10" s="19">
        <v>5.04E-2</v>
      </c>
      <c r="AY10" s="19">
        <v>5.04E-2</v>
      </c>
      <c r="AZ10" s="19">
        <v>5.0299999999999997E-2</v>
      </c>
      <c r="BA10" s="19">
        <v>5.0299999999999997E-2</v>
      </c>
      <c r="BB10" s="19">
        <v>5.0200000000000002E-2</v>
      </c>
      <c r="BC10" s="19">
        <v>5.0599999999999999E-2</v>
      </c>
      <c r="BD10" s="19">
        <v>5.0900000000000001E-2</v>
      </c>
      <c r="BE10" s="19">
        <v>5.1299999999999998E-2</v>
      </c>
      <c r="BF10" s="19">
        <v>5.16E-2</v>
      </c>
      <c r="BG10" s="19">
        <v>5.1999999999999998E-2</v>
      </c>
      <c r="BH10" s="19">
        <v>5.28E-2</v>
      </c>
      <c r="BI10" s="19">
        <v>5.3600000000000002E-2</v>
      </c>
      <c r="BJ10" s="19">
        <v>5.4399999999999997E-2</v>
      </c>
      <c r="BK10" s="19">
        <v>5.5199999999999999E-2</v>
      </c>
      <c r="BL10" s="19">
        <v>5.6000000000000001E-2</v>
      </c>
      <c r="BM10" s="19">
        <v>5.7500000000000002E-2</v>
      </c>
      <c r="BN10" s="19">
        <v>5.8900000000000001E-2</v>
      </c>
      <c r="BO10" s="19">
        <v>6.0400000000000002E-2</v>
      </c>
      <c r="BP10" s="19">
        <v>6.1800000000000001E-2</v>
      </c>
      <c r="BQ10" s="19">
        <v>6.3299999999999995E-2</v>
      </c>
      <c r="BR10" s="19">
        <v>6.5600000000000006E-2</v>
      </c>
      <c r="BS10" s="19">
        <v>6.7900000000000002E-2</v>
      </c>
      <c r="BT10" s="19">
        <v>7.0199999999999999E-2</v>
      </c>
      <c r="BU10" s="19">
        <v>7.2499999999999995E-2</v>
      </c>
      <c r="BV10" s="19">
        <v>7.4800000000000005E-2</v>
      </c>
      <c r="BW10" s="19">
        <v>7.7799999999999994E-2</v>
      </c>
      <c r="BX10" s="19">
        <v>8.09E-2</v>
      </c>
      <c r="BY10" s="19">
        <v>8.3900000000000002E-2</v>
      </c>
      <c r="BZ10" s="19">
        <v>8.6999999999999994E-2</v>
      </c>
      <c r="CA10" s="19">
        <v>0.09</v>
      </c>
      <c r="CB10" s="19">
        <v>9.4700000000000006E-2</v>
      </c>
      <c r="CC10" s="19">
        <v>9.9400000000000002E-2</v>
      </c>
      <c r="CD10" s="19">
        <v>0.1042</v>
      </c>
      <c r="CE10" s="19">
        <v>0.1089</v>
      </c>
      <c r="CF10" s="19">
        <v>0.11360000000000001</v>
      </c>
      <c r="CG10" s="19">
        <v>0.1232</v>
      </c>
      <c r="CH10" s="19">
        <v>0.13300000000000001</v>
      </c>
      <c r="CI10" s="19">
        <v>0.14799999999999999</v>
      </c>
      <c r="CJ10" s="19">
        <v>0.16200000000000001</v>
      </c>
      <c r="CK10" s="19">
        <v>0.186</v>
      </c>
      <c r="CL10" s="19">
        <v>0.217</v>
      </c>
      <c r="CM10" s="19">
        <v>0.255</v>
      </c>
      <c r="CN10" s="19">
        <v>0.3</v>
      </c>
      <c r="CO10" s="19">
        <v>0.35830000000000001</v>
      </c>
      <c r="CP10" s="19">
        <v>0.41670000000000001</v>
      </c>
      <c r="CQ10" s="19">
        <v>0.47499999999999998</v>
      </c>
      <c r="CR10" s="19">
        <v>0.5333</v>
      </c>
      <c r="CS10" s="19">
        <v>0.5917</v>
      </c>
      <c r="CT10" s="19">
        <v>0.65</v>
      </c>
      <c r="CU10" s="19">
        <v>0.70830000000000004</v>
      </c>
      <c r="CV10" s="19">
        <v>0.76670000000000005</v>
      </c>
      <c r="CW10" s="19">
        <v>0.82499999999999996</v>
      </c>
      <c r="CX10" s="19">
        <v>0.88329999999999997</v>
      </c>
      <c r="CY10" s="19">
        <v>0.94159999999999999</v>
      </c>
      <c r="CZ10" s="19">
        <v>1</v>
      </c>
      <c r="DA10" s="19">
        <v>1</v>
      </c>
      <c r="DB10" s="19">
        <v>1</v>
      </c>
      <c r="DC10" s="19">
        <v>1</v>
      </c>
      <c r="DD10" s="19">
        <v>1</v>
      </c>
      <c r="DE10" s="19">
        <v>1</v>
      </c>
      <c r="DF10" s="19">
        <v>1</v>
      </c>
      <c r="DG10" s="19">
        <v>1</v>
      </c>
      <c r="DH10" s="19">
        <v>1</v>
      </c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</row>
    <row r="11" spans="1:130">
      <c r="A11" s="28" t="s">
        <v>201</v>
      </c>
      <c r="B11" s="27" t="s">
        <v>162</v>
      </c>
      <c r="C11" s="28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>
        <v>0.2762</v>
      </c>
      <c r="T11" s="29">
        <v>0.22309999999999999</v>
      </c>
      <c r="U11" s="29">
        <v>0.1825</v>
      </c>
      <c r="V11" s="29">
        <v>0.1467</v>
      </c>
      <c r="W11" s="29">
        <v>0.1174</v>
      </c>
      <c r="X11" s="29">
        <v>9.6699999999999994E-2</v>
      </c>
      <c r="Y11" s="29">
        <v>8.2400000000000001E-2</v>
      </c>
      <c r="Z11" s="29">
        <v>7.2800000000000004E-2</v>
      </c>
      <c r="AA11" s="29">
        <v>6.6500000000000004E-2</v>
      </c>
      <c r="AB11" s="29">
        <v>6.2E-2</v>
      </c>
      <c r="AC11" s="29">
        <v>6.0600000000000001E-2</v>
      </c>
      <c r="AD11" s="29">
        <v>5.9700000000000003E-2</v>
      </c>
      <c r="AE11" s="29">
        <v>5.8799999999999998E-2</v>
      </c>
      <c r="AF11" s="29">
        <v>5.8000000000000003E-2</v>
      </c>
      <c r="AG11" s="29">
        <v>5.7299999999999997E-2</v>
      </c>
      <c r="AH11" s="29">
        <v>5.6500000000000002E-2</v>
      </c>
      <c r="AI11" s="29">
        <v>5.5800000000000002E-2</v>
      </c>
      <c r="AJ11" s="29">
        <v>5.5E-2</v>
      </c>
      <c r="AK11" s="29">
        <v>5.4300000000000001E-2</v>
      </c>
      <c r="AL11" s="29">
        <v>5.3600000000000002E-2</v>
      </c>
      <c r="AM11" s="29">
        <v>5.3199999999999997E-2</v>
      </c>
      <c r="AN11" s="29">
        <v>5.28E-2</v>
      </c>
      <c r="AO11" s="29">
        <v>5.2299999999999999E-2</v>
      </c>
      <c r="AP11" s="29">
        <v>5.1900000000000002E-2</v>
      </c>
      <c r="AQ11" s="29">
        <v>5.1400000000000001E-2</v>
      </c>
      <c r="AR11" s="29">
        <v>5.0999999999999997E-2</v>
      </c>
      <c r="AS11" s="29">
        <v>5.0900000000000001E-2</v>
      </c>
      <c r="AT11" s="29">
        <v>5.0799999999999998E-2</v>
      </c>
      <c r="AU11" s="29">
        <v>5.0700000000000002E-2</v>
      </c>
      <c r="AV11" s="29">
        <v>5.0599999999999999E-2</v>
      </c>
      <c r="AW11" s="29">
        <v>5.0500000000000003E-2</v>
      </c>
      <c r="AX11" s="29">
        <v>5.04E-2</v>
      </c>
      <c r="AY11" s="29">
        <v>5.04E-2</v>
      </c>
      <c r="AZ11" s="29">
        <v>5.0299999999999997E-2</v>
      </c>
      <c r="BA11" s="29">
        <v>5.0299999999999997E-2</v>
      </c>
      <c r="BB11" s="29">
        <v>5.0200000000000002E-2</v>
      </c>
      <c r="BC11" s="29">
        <v>5.0599999999999999E-2</v>
      </c>
      <c r="BD11" s="29">
        <v>5.0900000000000001E-2</v>
      </c>
      <c r="BE11" s="29">
        <v>5.1299999999999998E-2</v>
      </c>
      <c r="BF11" s="29">
        <v>5.16E-2</v>
      </c>
      <c r="BG11" s="29">
        <v>5.1999999999999998E-2</v>
      </c>
      <c r="BH11" s="29">
        <v>5.28E-2</v>
      </c>
      <c r="BI11" s="29">
        <v>5.3600000000000002E-2</v>
      </c>
      <c r="BJ11" s="29">
        <v>5.4399999999999997E-2</v>
      </c>
      <c r="BK11" s="29">
        <v>5.5199999999999999E-2</v>
      </c>
      <c r="BL11" s="29">
        <v>5.6000000000000001E-2</v>
      </c>
      <c r="BM11" s="29">
        <v>5.7500000000000002E-2</v>
      </c>
      <c r="BN11" s="29">
        <v>5.8900000000000001E-2</v>
      </c>
      <c r="BO11" s="29">
        <v>6.0400000000000002E-2</v>
      </c>
      <c r="BP11" s="29">
        <v>6.1800000000000001E-2</v>
      </c>
      <c r="BQ11" s="29">
        <v>6.3299999999999995E-2</v>
      </c>
      <c r="BR11" s="29">
        <v>6.5600000000000006E-2</v>
      </c>
      <c r="BS11" s="29">
        <v>6.7900000000000002E-2</v>
      </c>
      <c r="BT11" s="29">
        <v>7.0199999999999999E-2</v>
      </c>
      <c r="BU11" s="29">
        <v>7.2499999999999995E-2</v>
      </c>
      <c r="BV11" s="29">
        <v>7.4800000000000005E-2</v>
      </c>
      <c r="BW11" s="29">
        <v>7.7799999999999994E-2</v>
      </c>
      <c r="BX11" s="29">
        <v>8.09E-2</v>
      </c>
      <c r="BY11" s="29">
        <v>8.3900000000000002E-2</v>
      </c>
      <c r="BZ11" s="29">
        <v>8.6999999999999994E-2</v>
      </c>
      <c r="CA11" s="29">
        <v>0.09</v>
      </c>
      <c r="CB11" s="29">
        <v>9.4700000000000006E-2</v>
      </c>
      <c r="CC11" s="29">
        <v>9.9400000000000002E-2</v>
      </c>
      <c r="CD11" s="29">
        <v>0.1042</v>
      </c>
      <c r="CE11" s="29">
        <v>0.1089</v>
      </c>
      <c r="CF11" s="29">
        <v>0.11360000000000001</v>
      </c>
      <c r="CG11" s="29">
        <v>0.1232</v>
      </c>
      <c r="CH11" s="29">
        <v>0.13300000000000001</v>
      </c>
      <c r="CI11" s="29">
        <v>0.14799999999999999</v>
      </c>
      <c r="CJ11" s="29">
        <v>0.16200000000000001</v>
      </c>
      <c r="CK11" s="29">
        <v>0.186</v>
      </c>
      <c r="CL11" s="29">
        <v>0.217</v>
      </c>
      <c r="CM11" s="29">
        <v>0.255</v>
      </c>
      <c r="CN11" s="29">
        <v>0.3</v>
      </c>
      <c r="CO11" s="29">
        <v>0.35830000000000001</v>
      </c>
      <c r="CP11" s="29">
        <v>0.41670000000000001</v>
      </c>
      <c r="CQ11" s="29">
        <v>0.47499999999999998</v>
      </c>
      <c r="CR11" s="29">
        <v>0.5333</v>
      </c>
      <c r="CS11" s="29">
        <v>0.5917</v>
      </c>
      <c r="CT11" s="29">
        <v>0.65</v>
      </c>
      <c r="CU11" s="29">
        <v>0.70830000000000004</v>
      </c>
      <c r="CV11" s="29">
        <v>0.76670000000000005</v>
      </c>
      <c r="CW11" s="29">
        <v>0.82499999999999996</v>
      </c>
      <c r="CX11" s="29">
        <v>0.88329999999999997</v>
      </c>
      <c r="CY11" s="29">
        <v>0.94159999999999999</v>
      </c>
      <c r="CZ11" s="29"/>
      <c r="DA11" s="29"/>
      <c r="DB11" s="29"/>
      <c r="DC11" s="29"/>
      <c r="DD11" s="29"/>
      <c r="DE11" s="29"/>
      <c r="DF11" s="29"/>
      <c r="DG11" s="29"/>
      <c r="DH11" s="29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3"/>
      <c r="DW11" s="23"/>
      <c r="DX11" s="23"/>
      <c r="DY11" s="23"/>
      <c r="DZ11" s="23"/>
    </row>
    <row r="12" spans="1:130">
      <c r="A12" s="28" t="s">
        <v>201</v>
      </c>
      <c r="B12" s="27" t="s">
        <v>161</v>
      </c>
      <c r="C12" s="28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>
        <v>0.2762</v>
      </c>
      <c r="T12" s="29">
        <v>0.22309999999999999</v>
      </c>
      <c r="U12" s="29">
        <v>0.1825</v>
      </c>
      <c r="V12" s="29">
        <v>0.1467</v>
      </c>
      <c r="W12" s="29">
        <v>0.1174</v>
      </c>
      <c r="X12" s="29">
        <v>9.6699999999999994E-2</v>
      </c>
      <c r="Y12" s="29">
        <v>8.2400000000000001E-2</v>
      </c>
      <c r="Z12" s="29">
        <v>7.2800000000000004E-2</v>
      </c>
      <c r="AA12" s="29">
        <v>6.6500000000000004E-2</v>
      </c>
      <c r="AB12" s="29">
        <v>6.2E-2</v>
      </c>
      <c r="AC12" s="29">
        <v>6.0600000000000001E-2</v>
      </c>
      <c r="AD12" s="29">
        <v>5.9700000000000003E-2</v>
      </c>
      <c r="AE12" s="29">
        <v>5.8799999999999998E-2</v>
      </c>
      <c r="AF12" s="29">
        <v>5.8000000000000003E-2</v>
      </c>
      <c r="AG12" s="29">
        <v>5.7299999999999997E-2</v>
      </c>
      <c r="AH12" s="29">
        <v>5.6500000000000002E-2</v>
      </c>
      <c r="AI12" s="29">
        <v>5.5800000000000002E-2</v>
      </c>
      <c r="AJ12" s="29">
        <v>5.5E-2</v>
      </c>
      <c r="AK12" s="29">
        <v>5.4300000000000001E-2</v>
      </c>
      <c r="AL12" s="29">
        <v>5.3600000000000002E-2</v>
      </c>
      <c r="AM12" s="29">
        <v>5.3199999999999997E-2</v>
      </c>
      <c r="AN12" s="29">
        <v>5.2900000000000003E-2</v>
      </c>
      <c r="AO12" s="29">
        <v>5.2699999999999997E-2</v>
      </c>
      <c r="AP12" s="29">
        <v>5.2600000000000001E-2</v>
      </c>
      <c r="AQ12" s="29">
        <v>5.2499999999999998E-2</v>
      </c>
      <c r="AR12" s="29">
        <v>5.2400000000000002E-2</v>
      </c>
      <c r="AS12" s="29">
        <v>5.2299999999999999E-2</v>
      </c>
      <c r="AT12" s="29">
        <v>5.2200000000000003E-2</v>
      </c>
      <c r="AU12" s="29">
        <v>5.21E-2</v>
      </c>
      <c r="AV12" s="29">
        <v>5.1999999999999998E-2</v>
      </c>
      <c r="AW12" s="29">
        <v>5.1900000000000002E-2</v>
      </c>
      <c r="AX12" s="29">
        <v>5.2299999999999999E-2</v>
      </c>
      <c r="AY12" s="29">
        <v>5.4300000000000001E-2</v>
      </c>
      <c r="AZ12" s="29">
        <v>5.7799999999999997E-2</v>
      </c>
      <c r="BA12" s="29">
        <v>6.1800000000000001E-2</v>
      </c>
      <c r="BB12" s="29">
        <v>6.6799999999999998E-2</v>
      </c>
      <c r="BC12" s="29">
        <v>7.0999999999999994E-2</v>
      </c>
      <c r="BD12" s="29">
        <v>7.5399999999999995E-2</v>
      </c>
      <c r="BE12" s="29">
        <v>7.8100000000000003E-2</v>
      </c>
      <c r="BF12" s="29">
        <v>8.0699999999999994E-2</v>
      </c>
      <c r="BG12" s="29">
        <v>8.2500000000000004E-2</v>
      </c>
      <c r="BH12" s="29">
        <v>8.3599999999999994E-2</v>
      </c>
      <c r="BI12" s="29">
        <v>8.3699999999999997E-2</v>
      </c>
      <c r="BJ12" s="29">
        <v>0.08</v>
      </c>
      <c r="BK12" s="29">
        <v>7.5800000000000006E-2</v>
      </c>
      <c r="BL12" s="29">
        <v>7.0699999999999999E-2</v>
      </c>
      <c r="BM12" s="29">
        <v>6.6000000000000003E-2</v>
      </c>
      <c r="BN12" s="29">
        <v>6.2100000000000002E-2</v>
      </c>
      <c r="BO12" s="29">
        <v>0.06</v>
      </c>
      <c r="BP12" s="29">
        <v>5.9400000000000001E-2</v>
      </c>
      <c r="BQ12" s="29">
        <v>5.91E-2</v>
      </c>
      <c r="BR12" s="29">
        <v>5.8999999999999997E-2</v>
      </c>
      <c r="BS12" s="29">
        <v>5.8999999999999997E-2</v>
      </c>
      <c r="BT12" s="29">
        <v>5.9200000000000003E-2</v>
      </c>
      <c r="BU12" s="29">
        <v>5.9900000000000002E-2</v>
      </c>
      <c r="BV12" s="29">
        <v>6.1100000000000002E-2</v>
      </c>
      <c r="BW12" s="29">
        <v>6.2799999999999995E-2</v>
      </c>
      <c r="BX12" s="29">
        <v>6.5000000000000002E-2</v>
      </c>
      <c r="BY12" s="29">
        <v>6.7799999999999999E-2</v>
      </c>
      <c r="BZ12" s="29">
        <v>7.1199999999999999E-2</v>
      </c>
      <c r="CA12" s="29">
        <v>7.4999999999999997E-2</v>
      </c>
      <c r="CB12" s="29">
        <v>0.08</v>
      </c>
      <c r="CC12" s="29">
        <v>8.7999999999999995E-2</v>
      </c>
      <c r="CD12" s="29">
        <v>9.5000000000000001E-2</v>
      </c>
      <c r="CE12" s="29">
        <v>0.1042</v>
      </c>
      <c r="CF12" s="29">
        <v>0.11360000000000001</v>
      </c>
      <c r="CG12" s="29">
        <v>0.1232</v>
      </c>
      <c r="CH12" s="29">
        <v>0.13300000000000001</v>
      </c>
      <c r="CI12" s="29">
        <v>0.14799999999999999</v>
      </c>
      <c r="CJ12" s="29">
        <v>0.16200000000000001</v>
      </c>
      <c r="CK12" s="29">
        <v>0.186</v>
      </c>
      <c r="CL12" s="29">
        <v>0.217</v>
      </c>
      <c r="CM12" s="29">
        <v>0.255</v>
      </c>
      <c r="CN12" s="29">
        <v>0.3</v>
      </c>
      <c r="CO12" s="29">
        <v>0.35830000000000001</v>
      </c>
      <c r="CP12" s="29">
        <v>0.41670000000000001</v>
      </c>
      <c r="CQ12" s="29">
        <v>0.47499999999999998</v>
      </c>
      <c r="CR12" s="29">
        <v>0.5333</v>
      </c>
      <c r="CS12" s="29">
        <v>0.5917</v>
      </c>
      <c r="CT12" s="29">
        <v>0.65</v>
      </c>
      <c r="CU12" s="29">
        <v>0.70830000000000004</v>
      </c>
      <c r="CV12" s="29">
        <v>0.76659999999999995</v>
      </c>
      <c r="CW12" s="29">
        <v>0.82499999999999996</v>
      </c>
      <c r="CX12" s="29">
        <v>0.88329999999999997</v>
      </c>
      <c r="CY12" s="29">
        <v>1</v>
      </c>
      <c r="CZ12" s="29"/>
      <c r="DA12" s="29"/>
      <c r="DB12" s="29"/>
      <c r="DC12" s="29"/>
      <c r="DD12" s="29"/>
      <c r="DE12" s="29"/>
      <c r="DF12" s="29"/>
      <c r="DG12" s="29"/>
      <c r="DH12" s="29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</row>
    <row r="13" spans="1:130">
      <c r="A13" s="28" t="s">
        <v>201</v>
      </c>
      <c r="B13" s="27" t="s">
        <v>169</v>
      </c>
      <c r="C13" s="28"/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23">
        <v>0</v>
      </c>
      <c r="K13" s="23">
        <v>0</v>
      </c>
      <c r="L13" s="23">
        <v>0</v>
      </c>
      <c r="M13" s="23">
        <v>0</v>
      </c>
      <c r="N13" s="23">
        <v>0</v>
      </c>
      <c r="O13" s="23">
        <v>0</v>
      </c>
      <c r="P13" s="23">
        <v>0</v>
      </c>
      <c r="Q13" s="23">
        <v>0</v>
      </c>
      <c r="R13" s="23">
        <v>4.1900000000000001E-3</v>
      </c>
      <c r="S13" s="23">
        <v>4.1900000000000001E-3</v>
      </c>
      <c r="T13" s="23">
        <v>4.1900000000000001E-3</v>
      </c>
      <c r="U13" s="23">
        <v>4.1900000000000001E-3</v>
      </c>
      <c r="V13" s="23">
        <v>4.1900000000000001E-3</v>
      </c>
      <c r="W13" s="23">
        <v>4.1900000000000001E-3</v>
      </c>
      <c r="X13" s="23">
        <v>4.1900000000000001E-3</v>
      </c>
      <c r="Y13" s="23">
        <v>4.1900000000000001E-3</v>
      </c>
      <c r="Z13" s="23">
        <v>4.3099999999999996E-3</v>
      </c>
      <c r="AA13" s="23">
        <v>4.4200000000000003E-3</v>
      </c>
      <c r="AB13" s="23">
        <v>4.4799999999999996E-3</v>
      </c>
      <c r="AC13" s="23">
        <v>4.5300000000000002E-3</v>
      </c>
      <c r="AD13" s="23">
        <v>4.5700000000000003E-3</v>
      </c>
      <c r="AE13" s="23">
        <v>4.5999999999999999E-3</v>
      </c>
      <c r="AF13" s="23">
        <v>4.6600000000000001E-3</v>
      </c>
      <c r="AG13" s="23">
        <v>4.7200000000000002E-3</v>
      </c>
      <c r="AH13" s="23">
        <v>4.81E-3</v>
      </c>
      <c r="AI13" s="23">
        <v>4.8999999999999998E-3</v>
      </c>
      <c r="AJ13" s="23">
        <v>5.0299999999999997E-3</v>
      </c>
      <c r="AK13" s="23">
        <v>5.1500000000000001E-3</v>
      </c>
      <c r="AL13" s="23">
        <v>5.3099999999999996E-3</v>
      </c>
      <c r="AM13" s="23">
        <v>5.47E-3</v>
      </c>
      <c r="AN13" s="23">
        <v>5.64E-3</v>
      </c>
      <c r="AO13" s="23">
        <v>5.8100000000000001E-3</v>
      </c>
      <c r="AP13" s="23">
        <v>6.0200000000000002E-3</v>
      </c>
      <c r="AQ13" s="23">
        <v>6.2199999999999998E-3</v>
      </c>
      <c r="AR13" s="23">
        <v>6.4599999999999996E-3</v>
      </c>
      <c r="AS13" s="23">
        <v>6.7000000000000002E-3</v>
      </c>
      <c r="AT13" s="23">
        <v>6.9899999999999997E-3</v>
      </c>
      <c r="AU13" s="23">
        <v>7.28E-3</v>
      </c>
      <c r="AV13" s="23">
        <v>7.6400000000000001E-3</v>
      </c>
      <c r="AW13" s="23">
        <v>8.0000000000000002E-3</v>
      </c>
      <c r="AX13" s="23">
        <v>8.4799999999999997E-3</v>
      </c>
      <c r="AY13" s="23">
        <v>8.9499999999999996E-3</v>
      </c>
      <c r="AZ13" s="23">
        <v>8.9499999999999996E-3</v>
      </c>
      <c r="BA13" s="23">
        <v>1.014E-2</v>
      </c>
      <c r="BB13" s="23">
        <v>1.132E-2</v>
      </c>
      <c r="BC13" s="23">
        <v>1.2500000000000001E-2</v>
      </c>
      <c r="BD13" s="23">
        <v>1.414E-2</v>
      </c>
      <c r="BE13" s="23">
        <v>1.5779999999999999E-2</v>
      </c>
      <c r="BF13" s="23">
        <v>1.8020000000000001E-2</v>
      </c>
      <c r="BG13" s="23">
        <v>2.026E-2</v>
      </c>
      <c r="BH13" s="23">
        <v>2.3560000000000001E-2</v>
      </c>
      <c r="BI13" s="23">
        <v>2.6849999999999999E-2</v>
      </c>
      <c r="BJ13" s="23">
        <v>3.0640000000000001E-2</v>
      </c>
      <c r="BK13" s="23">
        <v>3.4419999999999999E-2</v>
      </c>
      <c r="BL13" s="23">
        <v>3.8760000000000003E-2</v>
      </c>
      <c r="BM13" s="23">
        <v>4.3099999999999999E-2</v>
      </c>
      <c r="BN13" s="23">
        <v>4.8099999999999997E-2</v>
      </c>
      <c r="BO13" s="23">
        <v>5.3100000000000001E-2</v>
      </c>
      <c r="BP13" s="23">
        <v>5.8979999999999998E-2</v>
      </c>
      <c r="BQ13" s="23">
        <v>6.4850000000000005E-2</v>
      </c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3"/>
      <c r="DW13" s="23"/>
      <c r="DX13" s="23"/>
      <c r="DY13" s="23"/>
      <c r="DZ13" s="23"/>
    </row>
    <row r="14" spans="1:130">
      <c r="A14" s="28" t="s">
        <v>201</v>
      </c>
      <c r="B14" s="27" t="s">
        <v>170</v>
      </c>
      <c r="C14" s="28"/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  <c r="R14" s="23">
        <v>1.0399999999999999E-3</v>
      </c>
      <c r="S14" s="23">
        <v>1.0399999999999999E-3</v>
      </c>
      <c r="T14" s="23">
        <v>1.0499999999999999E-3</v>
      </c>
      <c r="U14" s="23">
        <v>1.1100000000000001E-3</v>
      </c>
      <c r="V14" s="23">
        <v>1.16E-3</v>
      </c>
      <c r="W14" s="23">
        <v>1.2099999999999999E-3</v>
      </c>
      <c r="X14" s="23">
        <v>1.23E-3</v>
      </c>
      <c r="Y14" s="23">
        <v>1.2899999999999999E-3</v>
      </c>
      <c r="Z14" s="23">
        <v>1.32E-3</v>
      </c>
      <c r="AA14" s="23">
        <v>1.3600000000000001E-3</v>
      </c>
      <c r="AB14" s="23">
        <v>1.3799999999999999E-3</v>
      </c>
      <c r="AC14" s="23">
        <v>1.39E-3</v>
      </c>
      <c r="AD14" s="23">
        <v>1.4E-3</v>
      </c>
      <c r="AE14" s="23">
        <v>1.41E-3</v>
      </c>
      <c r="AF14" s="23">
        <v>1.4400000000000001E-3</v>
      </c>
      <c r="AG14" s="23">
        <v>1.4499999999999999E-3</v>
      </c>
      <c r="AH14" s="23">
        <v>1.48E-3</v>
      </c>
      <c r="AI14" s="23">
        <v>1.5E-3</v>
      </c>
      <c r="AJ14" s="23">
        <v>1.5399999999999999E-3</v>
      </c>
      <c r="AK14" s="23">
        <v>1.58E-3</v>
      </c>
      <c r="AL14" s="23">
        <v>1.6199999999999999E-3</v>
      </c>
      <c r="AM14" s="23">
        <v>1.6800000000000001E-3</v>
      </c>
      <c r="AN14" s="23">
        <v>1.73E-3</v>
      </c>
      <c r="AO14" s="23">
        <v>1.7799999999999999E-3</v>
      </c>
      <c r="AP14" s="23">
        <v>1.8400000000000001E-3</v>
      </c>
      <c r="AQ14" s="23">
        <v>1.91E-3</v>
      </c>
      <c r="AR14" s="23">
        <v>1.97E-3</v>
      </c>
      <c r="AS14" s="23">
        <v>2.0600000000000002E-3</v>
      </c>
      <c r="AT14" s="23">
        <v>2.14E-3</v>
      </c>
      <c r="AU14" s="23">
        <v>2.2300000000000002E-3</v>
      </c>
      <c r="AV14" s="23">
        <v>2.3400000000000001E-3</v>
      </c>
      <c r="AW14" s="23">
        <v>2.4499999999999999E-3</v>
      </c>
      <c r="AX14" s="23">
        <v>2.5899999999999999E-3</v>
      </c>
      <c r="AY14" s="23">
        <v>2.7499999999999998E-3</v>
      </c>
      <c r="AZ14" s="23">
        <v>2.9499999999999999E-3</v>
      </c>
      <c r="BA14" s="23">
        <v>3.1099999999999999E-3</v>
      </c>
      <c r="BB14" s="23">
        <v>3.4399999999999999E-3</v>
      </c>
      <c r="BC14" s="23">
        <v>3.8400000000000001E-3</v>
      </c>
      <c r="BD14" s="23">
        <v>4.3E-3</v>
      </c>
      <c r="BE14" s="23">
        <v>4.8399999999999997E-3</v>
      </c>
      <c r="BF14" s="23">
        <v>5.4900000000000001E-3</v>
      </c>
      <c r="BG14" s="23">
        <v>6.2199999999999998E-3</v>
      </c>
      <c r="BH14" s="23">
        <v>7.0899999999999999E-3</v>
      </c>
      <c r="BI14" s="23">
        <v>8.2400000000000008E-3</v>
      </c>
      <c r="BJ14" s="23">
        <v>9.6399999999999993E-3</v>
      </c>
      <c r="BK14" s="23">
        <v>1.056E-2</v>
      </c>
      <c r="BL14" s="23">
        <v>1.1939999999999999E-2</v>
      </c>
      <c r="BM14" s="23">
        <v>1.323E-2</v>
      </c>
      <c r="BN14" s="23">
        <v>1.4710000000000001E-2</v>
      </c>
      <c r="BO14" s="23">
        <v>1.6289999999999999E-2</v>
      </c>
      <c r="BP14" s="23">
        <v>1.8069999999999999E-2</v>
      </c>
      <c r="BQ14" s="23">
        <v>1.9900000000000001E-2</v>
      </c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3"/>
      <c r="DW14" s="23"/>
      <c r="DX14" s="23"/>
      <c r="DY14" s="23"/>
      <c r="DZ14" s="23"/>
    </row>
    <row r="15" spans="1:130">
      <c r="A15" s="28" t="s">
        <v>201</v>
      </c>
      <c r="B15" s="27" t="s">
        <v>192</v>
      </c>
      <c r="C15" s="28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>
        <v>7.1000000000000004E-3</v>
      </c>
      <c r="T15" s="23">
        <v>6.1999999999999998E-3</v>
      </c>
      <c r="U15" s="23">
        <v>6.7000000000000002E-3</v>
      </c>
      <c r="V15" s="23">
        <v>6.4999999999999997E-3</v>
      </c>
      <c r="W15" s="23">
        <v>6.3E-3</v>
      </c>
      <c r="X15" s="23">
        <v>6.1999999999999998E-3</v>
      </c>
      <c r="Y15" s="23">
        <v>6.0000000000000001E-3</v>
      </c>
      <c r="Z15" s="23">
        <v>5.8999999999999999E-3</v>
      </c>
      <c r="AA15" s="23">
        <v>5.7000000000000002E-3</v>
      </c>
      <c r="AB15" s="23">
        <v>5.5999999999999999E-3</v>
      </c>
      <c r="AC15" s="23">
        <v>5.4999999999999997E-3</v>
      </c>
      <c r="AD15" s="23">
        <v>5.4000000000000003E-3</v>
      </c>
      <c r="AE15" s="23">
        <v>5.3E-3</v>
      </c>
      <c r="AF15" s="23">
        <v>5.3E-3</v>
      </c>
      <c r="AG15" s="23">
        <v>5.1999999999999998E-3</v>
      </c>
      <c r="AH15" s="23">
        <v>5.1999999999999998E-3</v>
      </c>
      <c r="AI15" s="23">
        <v>5.1999999999999998E-3</v>
      </c>
      <c r="AJ15" s="23">
        <v>5.3E-3</v>
      </c>
      <c r="AK15" s="23">
        <v>5.4000000000000003E-3</v>
      </c>
      <c r="AL15" s="23">
        <v>5.4999999999999997E-3</v>
      </c>
      <c r="AM15" s="23">
        <v>5.5999999999999999E-3</v>
      </c>
      <c r="AN15" s="23">
        <v>5.7999999999999996E-3</v>
      </c>
      <c r="AO15" s="23">
        <v>6.0000000000000001E-3</v>
      </c>
      <c r="AP15" s="23">
        <v>6.4000000000000003E-3</v>
      </c>
      <c r="AQ15" s="23">
        <v>6.7000000000000002E-3</v>
      </c>
      <c r="AR15" s="23">
        <v>7.1000000000000004E-3</v>
      </c>
      <c r="AS15" s="23">
        <v>7.6E-3</v>
      </c>
      <c r="AT15" s="23">
        <v>8.2000000000000007E-3</v>
      </c>
      <c r="AU15" s="23">
        <v>8.8999999999999999E-3</v>
      </c>
      <c r="AV15" s="23">
        <v>9.5999999999999992E-3</v>
      </c>
      <c r="AW15" s="23">
        <v>1.03E-2</v>
      </c>
      <c r="AX15" s="23">
        <v>1.15E-2</v>
      </c>
      <c r="AY15" s="23">
        <v>1.26E-2</v>
      </c>
      <c r="AZ15" s="23">
        <v>1.3899999999999999E-2</v>
      </c>
      <c r="BA15" s="23">
        <v>1.5299999999999999E-2</v>
      </c>
      <c r="BB15" s="23">
        <v>1.7000000000000001E-2</v>
      </c>
      <c r="BC15" s="23">
        <v>1.8800000000000001E-2</v>
      </c>
      <c r="BD15" s="23">
        <v>2.0799999999999999E-2</v>
      </c>
      <c r="BE15" s="23">
        <v>2.3099999999999999E-2</v>
      </c>
      <c r="BF15" s="23">
        <v>2.5700000000000001E-2</v>
      </c>
      <c r="BG15" s="23">
        <v>2.86E-2</v>
      </c>
      <c r="BH15" s="23">
        <v>3.1800000000000002E-2</v>
      </c>
      <c r="BI15" s="23">
        <v>3.5400000000000001E-2</v>
      </c>
      <c r="BJ15" s="23">
        <v>3.9399999999999998E-2</v>
      </c>
      <c r="BK15" s="23">
        <v>4.3900000000000002E-2</v>
      </c>
      <c r="BL15" s="23">
        <v>4.8899999999999999E-2</v>
      </c>
      <c r="BM15" s="23">
        <v>5.4399999999999997E-2</v>
      </c>
      <c r="BN15" s="23">
        <v>6.0600000000000001E-2</v>
      </c>
      <c r="BO15" s="23">
        <v>6.7500000000000004E-2</v>
      </c>
      <c r="BP15" s="23">
        <v>7.51E-2</v>
      </c>
      <c r="BQ15" s="23">
        <v>8.3599999999999994E-2</v>
      </c>
      <c r="BR15" s="23">
        <v>9.2899999999999996E-2</v>
      </c>
      <c r="BS15" s="23">
        <v>0.10340000000000001</v>
      </c>
      <c r="BT15" s="23">
        <v>0.115</v>
      </c>
      <c r="BU15" s="23">
        <v>0.12790000000000001</v>
      </c>
      <c r="BV15" s="23">
        <v>0.14219999999999999</v>
      </c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3"/>
      <c r="DW15" s="23"/>
      <c r="DX15" s="23"/>
      <c r="DY15" s="23"/>
      <c r="DZ15" s="23"/>
    </row>
    <row r="16" spans="1:130">
      <c r="A16" s="28" t="s">
        <v>201</v>
      </c>
      <c r="B16" s="27" t="s">
        <v>171</v>
      </c>
      <c r="C16" s="28"/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  <c r="K16" s="23">
        <v>0</v>
      </c>
      <c r="L16" s="23">
        <v>0</v>
      </c>
      <c r="M16" s="23">
        <v>0</v>
      </c>
      <c r="N16" s="23">
        <v>0</v>
      </c>
      <c r="O16" s="23">
        <v>0</v>
      </c>
      <c r="P16" s="23">
        <v>0</v>
      </c>
      <c r="Q16" s="23">
        <v>0</v>
      </c>
      <c r="R16" s="23">
        <v>0</v>
      </c>
      <c r="S16" s="23">
        <v>7.1000000000000004E-3</v>
      </c>
      <c r="T16" s="23">
        <v>6.1999999999999998E-3</v>
      </c>
      <c r="U16" s="23">
        <v>6.7000000000000002E-3</v>
      </c>
      <c r="V16" s="23">
        <v>6.4999999999999997E-3</v>
      </c>
      <c r="W16" s="23">
        <v>6.3E-3</v>
      </c>
      <c r="X16" s="23">
        <v>6.1999999999999998E-3</v>
      </c>
      <c r="Y16" s="23">
        <v>6.0000000000000001E-3</v>
      </c>
      <c r="Z16" s="23">
        <v>5.8999999999999999E-3</v>
      </c>
      <c r="AA16" s="23">
        <v>5.7000000000000002E-3</v>
      </c>
      <c r="AB16" s="23">
        <v>5.5999999999999999E-3</v>
      </c>
      <c r="AC16" s="23">
        <v>5.4999999999999997E-3</v>
      </c>
      <c r="AD16" s="23">
        <v>5.4000000000000003E-3</v>
      </c>
      <c r="AE16" s="23">
        <v>5.3E-3</v>
      </c>
      <c r="AF16" s="23">
        <v>5.3E-3</v>
      </c>
      <c r="AG16" s="23">
        <v>5.1999999999999998E-3</v>
      </c>
      <c r="AH16" s="23">
        <v>5.1999999999999998E-3</v>
      </c>
      <c r="AI16" s="23">
        <v>5.1999999999999998E-3</v>
      </c>
      <c r="AJ16" s="23">
        <v>5.3E-3</v>
      </c>
      <c r="AK16" s="23">
        <v>5.4000000000000003E-3</v>
      </c>
      <c r="AL16" s="23">
        <v>5.4999999999999997E-3</v>
      </c>
      <c r="AM16" s="23">
        <v>5.5999999999999999E-3</v>
      </c>
      <c r="AN16" s="23">
        <v>5.7999999999999996E-3</v>
      </c>
      <c r="AO16" s="23">
        <v>6.0000000000000001E-3</v>
      </c>
      <c r="AP16" s="23">
        <v>6.4000000000000003E-3</v>
      </c>
      <c r="AQ16" s="23">
        <v>6.7000000000000002E-3</v>
      </c>
      <c r="AR16" s="23">
        <v>7.1000000000000004E-3</v>
      </c>
      <c r="AS16" s="23">
        <v>7.6E-3</v>
      </c>
      <c r="AT16" s="23">
        <v>8.2000000000000007E-3</v>
      </c>
      <c r="AU16" s="23">
        <v>8.8999999999999999E-3</v>
      </c>
      <c r="AV16" s="23">
        <v>9.5999999999999992E-3</v>
      </c>
      <c r="AW16" s="23">
        <v>1.03E-2</v>
      </c>
      <c r="AX16" s="23">
        <v>1.15E-2</v>
      </c>
      <c r="AY16" s="23">
        <v>1.26E-2</v>
      </c>
      <c r="AZ16" s="23">
        <v>1.3899999999999999E-2</v>
      </c>
      <c r="BA16" s="23">
        <v>1.5299999999999999E-2</v>
      </c>
      <c r="BB16" s="23">
        <v>1.7000000000000001E-2</v>
      </c>
      <c r="BC16" s="23">
        <v>1.8800000000000001E-2</v>
      </c>
      <c r="BD16" s="23">
        <v>2.0799999999999999E-2</v>
      </c>
      <c r="BE16" s="23">
        <v>2.3099999999999999E-2</v>
      </c>
      <c r="BF16" s="23">
        <v>2.5700000000000001E-2</v>
      </c>
      <c r="BG16" s="23">
        <v>2.86E-2</v>
      </c>
      <c r="BH16" s="23">
        <v>3.1800000000000002E-2</v>
      </c>
      <c r="BI16" s="23">
        <v>3.5400000000000001E-2</v>
      </c>
      <c r="BJ16" s="23">
        <v>3.9399999999999998E-2</v>
      </c>
      <c r="BK16" s="23">
        <v>4.3900000000000002E-2</v>
      </c>
      <c r="BL16" s="23">
        <v>4.8899999999999999E-2</v>
      </c>
      <c r="BM16" s="23">
        <v>5.4399999999999997E-2</v>
      </c>
      <c r="BN16" s="23">
        <v>6.0600000000000001E-2</v>
      </c>
      <c r="BO16" s="23">
        <v>6.7500000000000004E-2</v>
      </c>
      <c r="BP16" s="23">
        <v>7.51E-2</v>
      </c>
      <c r="BQ16" s="23">
        <v>8.3599999999999994E-2</v>
      </c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</row>
    <row r="17" spans="1:130">
      <c r="A17" s="2" t="s">
        <v>201</v>
      </c>
      <c r="B17" s="4" t="s">
        <v>190</v>
      </c>
      <c r="C17" s="2"/>
      <c r="D17" s="11">
        <v>0</v>
      </c>
      <c r="E17" s="11">
        <v>0</v>
      </c>
      <c r="F17" s="11">
        <v>0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1">
        <v>0</v>
      </c>
      <c r="S17" s="11">
        <v>1.2999999999999999E-4</v>
      </c>
      <c r="T17" s="11">
        <v>1.6000000000000001E-4</v>
      </c>
      <c r="U17" s="11">
        <v>2.0000000000000001E-4</v>
      </c>
      <c r="V17" s="11">
        <v>2.5000000000000001E-4</v>
      </c>
      <c r="W17" s="11">
        <v>2.9999999999999997E-4</v>
      </c>
      <c r="X17" s="11">
        <v>3.6000000000000002E-4</v>
      </c>
      <c r="Y17" s="11">
        <v>4.2999999999999999E-4</v>
      </c>
      <c r="Z17" s="11">
        <v>5.1000000000000004E-4</v>
      </c>
      <c r="AA17" s="11">
        <v>5.9999999999999995E-4</v>
      </c>
      <c r="AB17" s="11">
        <v>6.9999999999999999E-4</v>
      </c>
      <c r="AC17" s="11">
        <v>8.1999999999999998E-4</v>
      </c>
      <c r="AD17" s="11">
        <v>9.5E-4</v>
      </c>
      <c r="AE17" s="11">
        <v>1.09E-3</v>
      </c>
      <c r="AF17" s="11">
        <v>1.24E-3</v>
      </c>
      <c r="AG17" s="11">
        <v>1.42E-3</v>
      </c>
      <c r="AH17" s="11">
        <v>1.64E-3</v>
      </c>
      <c r="AI17" s="11">
        <v>1.81E-3</v>
      </c>
      <c r="AJ17" s="11">
        <v>2.0400000000000001E-3</v>
      </c>
      <c r="AK17" s="11">
        <v>2.2799999999999999E-3</v>
      </c>
      <c r="AL17" s="11">
        <v>2.5500000000000002E-3</v>
      </c>
      <c r="AM17" s="11">
        <v>2.8700000000000002E-3</v>
      </c>
      <c r="AN17" s="11">
        <v>3.14E-3</v>
      </c>
      <c r="AO17" s="11">
        <v>3.46E-3</v>
      </c>
      <c r="AP17" s="11">
        <v>3.8300000000000001E-3</v>
      </c>
      <c r="AQ17" s="11">
        <v>4.1999999999999997E-3</v>
      </c>
      <c r="AR17" s="11">
        <v>4.6100000000000004E-3</v>
      </c>
      <c r="AS17" s="11">
        <v>5.0600000000000003E-3</v>
      </c>
      <c r="AT17" s="11">
        <v>5.5199999999999997E-3</v>
      </c>
      <c r="AU17" s="11">
        <v>6.0299999999999998E-3</v>
      </c>
      <c r="AV17" s="11">
        <v>6.5700000000000003E-3</v>
      </c>
      <c r="AW17" s="11">
        <v>7.1199999999999996E-3</v>
      </c>
      <c r="AX17" s="11">
        <v>7.7200000000000003E-3</v>
      </c>
      <c r="AY17" s="11">
        <v>8.3800000000000003E-3</v>
      </c>
      <c r="AZ17" s="11">
        <v>9.0399999999999994E-3</v>
      </c>
      <c r="BA17" s="11">
        <v>9.7999999999999997E-3</v>
      </c>
      <c r="BB17" s="11">
        <v>1.0500000000000001E-2</v>
      </c>
      <c r="BC17" s="11">
        <v>1.1310000000000001E-2</v>
      </c>
      <c r="BD17" s="11">
        <v>1.218E-2</v>
      </c>
      <c r="BE17" s="11">
        <v>1.307E-2</v>
      </c>
      <c r="BF17" s="11">
        <v>1.4E-2</v>
      </c>
      <c r="BG17" s="11">
        <v>1.49E-2</v>
      </c>
      <c r="BH17" s="11">
        <v>1.5959999999999998E-2</v>
      </c>
      <c r="BI17" s="11">
        <v>1.6959999999999999E-2</v>
      </c>
      <c r="BJ17" s="11">
        <v>1.823E-2</v>
      </c>
      <c r="BK17" s="11">
        <v>1.9369999999999998E-2</v>
      </c>
      <c r="BL17" s="11">
        <v>2.0629999999999999E-2</v>
      </c>
      <c r="BM17" s="11">
        <v>2.2200000000000001E-2</v>
      </c>
      <c r="BN17" s="11">
        <v>2.3259999999999999E-2</v>
      </c>
      <c r="BO17" s="11">
        <v>2.462E-2</v>
      </c>
      <c r="BP17" s="11">
        <v>2.6040000000000001E-2</v>
      </c>
      <c r="BQ17" s="11">
        <v>2.7560000000000001E-2</v>
      </c>
      <c r="BR17" s="11">
        <v>2.9069999999999999E-2</v>
      </c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</row>
    <row r="18" spans="1:130">
      <c r="A18" s="2" t="s">
        <v>201</v>
      </c>
      <c r="B18" s="4" t="s">
        <v>166</v>
      </c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>
        <v>6.9999999999999994E-5</v>
      </c>
      <c r="T18" s="11">
        <v>9.0000000000000006E-5</v>
      </c>
      <c r="U18" s="11">
        <v>1.1E-4</v>
      </c>
      <c r="V18" s="11">
        <v>1.2999999999999999E-4</v>
      </c>
      <c r="W18" s="11">
        <v>1.6000000000000001E-4</v>
      </c>
      <c r="X18" s="11">
        <v>1.9000000000000001E-4</v>
      </c>
      <c r="Y18" s="11">
        <v>2.3000000000000001E-4</v>
      </c>
      <c r="Z18" s="11">
        <v>2.7E-4</v>
      </c>
      <c r="AA18" s="11">
        <v>2.3000000000000001E-4</v>
      </c>
      <c r="AB18" s="11">
        <v>3.6999999999999999E-4</v>
      </c>
      <c r="AC18" s="11">
        <v>4.4000000000000002E-4</v>
      </c>
      <c r="AD18" s="11">
        <v>5.1000000000000004E-4</v>
      </c>
      <c r="AE18" s="11">
        <v>5.8E-4</v>
      </c>
      <c r="AF18" s="11">
        <v>6.6E-4</v>
      </c>
      <c r="AG18" s="11">
        <v>7.6000000000000004E-4</v>
      </c>
      <c r="AH18" s="11">
        <v>8.8000000000000003E-4</v>
      </c>
      <c r="AI18" s="11">
        <v>9.7999999999999997E-4</v>
      </c>
      <c r="AJ18" s="11">
        <v>1.1000000000000001E-3</v>
      </c>
      <c r="AK18" s="11">
        <v>1.24E-3</v>
      </c>
      <c r="AL18" s="11">
        <v>1.39E-3</v>
      </c>
      <c r="AM18" s="11">
        <v>1.57E-3</v>
      </c>
      <c r="AN18" s="11">
        <v>1.72E-3</v>
      </c>
      <c r="AO18" s="11">
        <v>1.91E-3</v>
      </c>
      <c r="AP18" s="11">
        <v>2.1199999999999999E-3</v>
      </c>
      <c r="AQ18" s="11">
        <v>2.3400000000000001E-3</v>
      </c>
      <c r="AR18" s="11">
        <v>2.5899999999999999E-3</v>
      </c>
      <c r="AS18" s="11">
        <v>2.8600000000000001E-3</v>
      </c>
      <c r="AT18" s="11">
        <v>3.15E-3</v>
      </c>
      <c r="AU18" s="11">
        <v>3.46E-3</v>
      </c>
      <c r="AV18" s="11">
        <v>3.81E-3</v>
      </c>
      <c r="AW18" s="11">
        <v>4.1700000000000001E-3</v>
      </c>
      <c r="AX18" s="11">
        <v>4.5700000000000003E-3</v>
      </c>
      <c r="AY18" s="11">
        <v>5.0099999999999997E-3</v>
      </c>
      <c r="AZ18" s="11">
        <v>5.4799999999999996E-3</v>
      </c>
      <c r="BA18" s="11">
        <v>6.0099999999999997E-3</v>
      </c>
      <c r="BB18" s="11">
        <v>6.5500000000000003E-3</v>
      </c>
      <c r="BC18" s="11">
        <v>7.1599999999999997E-3</v>
      </c>
      <c r="BD18" s="11">
        <v>7.8399999999999997E-3</v>
      </c>
      <c r="BE18" s="11">
        <v>8.5800000000000008E-3</v>
      </c>
      <c r="BF18" s="11">
        <v>9.3699999999999999E-3</v>
      </c>
      <c r="BG18" s="11">
        <v>1.021E-2</v>
      </c>
      <c r="BH18" s="11">
        <v>1.119E-2</v>
      </c>
      <c r="BI18" s="11">
        <v>1.222E-2</v>
      </c>
      <c r="BJ18" s="11">
        <v>1.346E-2</v>
      </c>
      <c r="BK18" s="11">
        <v>1.474E-2</v>
      </c>
      <c r="BL18" s="11">
        <v>1.6199999999999999E-2</v>
      </c>
      <c r="BM18" s="11">
        <v>1.7940000000000001E-2</v>
      </c>
      <c r="BN18" s="11">
        <v>1.959E-2</v>
      </c>
      <c r="BO18" s="11">
        <v>2.1569999999999999E-2</v>
      </c>
      <c r="BP18" s="11">
        <v>2.3789999999999999E-2</v>
      </c>
      <c r="BQ18" s="11">
        <v>2.63E-2</v>
      </c>
      <c r="BR18" s="11">
        <v>2.9530000000000001E-2</v>
      </c>
      <c r="BS18" s="11">
        <v>1.719E-2</v>
      </c>
      <c r="BT18" s="11">
        <v>1.9949999999999999E-2</v>
      </c>
      <c r="BU18" s="11">
        <v>2.3099999999999999E-2</v>
      </c>
      <c r="BV18" s="11">
        <v>2.6689999999999998E-2</v>
      </c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</row>
    <row r="19" spans="1:130">
      <c r="A19" s="28" t="s">
        <v>201</v>
      </c>
      <c r="B19" s="27" t="s">
        <v>172</v>
      </c>
      <c r="C19" s="28"/>
      <c r="D19" s="23">
        <v>0</v>
      </c>
      <c r="E19" s="23">
        <v>0</v>
      </c>
      <c r="F19" s="23">
        <v>0</v>
      </c>
      <c r="G19" s="23">
        <v>0</v>
      </c>
      <c r="H19" s="23">
        <v>0</v>
      </c>
      <c r="I19" s="23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  <c r="O19" s="23">
        <v>0</v>
      </c>
      <c r="P19" s="23">
        <v>0</v>
      </c>
      <c r="Q19" s="23">
        <v>0</v>
      </c>
      <c r="R19" s="23">
        <v>0</v>
      </c>
      <c r="S19" s="23">
        <v>7.6000000000000004E-4</v>
      </c>
      <c r="T19" s="23">
        <v>7.6000000000000004E-4</v>
      </c>
      <c r="U19" s="23">
        <v>7.6000000000000004E-4</v>
      </c>
      <c r="V19" s="23">
        <v>7.6000000000000004E-4</v>
      </c>
      <c r="W19" s="23">
        <v>7.6000000000000004E-4</v>
      </c>
      <c r="X19" s="23">
        <v>7.6000000000000004E-4</v>
      </c>
      <c r="Y19" s="23">
        <v>8.1999999999999998E-4</v>
      </c>
      <c r="Z19" s="23">
        <v>8.8000000000000003E-4</v>
      </c>
      <c r="AA19" s="23">
        <v>9.2000000000000003E-4</v>
      </c>
      <c r="AB19" s="23">
        <v>9.6000000000000002E-4</v>
      </c>
      <c r="AC19" s="23">
        <v>1E-3</v>
      </c>
      <c r="AD19" s="23">
        <v>1.0200000000000001E-3</v>
      </c>
      <c r="AE19" s="23">
        <v>1.0499999999999999E-3</v>
      </c>
      <c r="AF19" s="23">
        <v>1.07E-3</v>
      </c>
      <c r="AG19" s="23">
        <v>1.1000000000000001E-3</v>
      </c>
      <c r="AH19" s="23">
        <v>1.1199999999999999E-3</v>
      </c>
      <c r="AI19" s="23">
        <v>1.15E-3</v>
      </c>
      <c r="AJ19" s="23">
        <v>1.1800000000000001E-3</v>
      </c>
      <c r="AK19" s="23">
        <v>1.2099999999999999E-3</v>
      </c>
      <c r="AL19" s="23">
        <v>1.24E-3</v>
      </c>
      <c r="AM19" s="23">
        <v>1.2899999999999999E-3</v>
      </c>
      <c r="AN19" s="23">
        <v>1.34E-3</v>
      </c>
      <c r="AO19" s="23">
        <v>1.4E-3</v>
      </c>
      <c r="AP19" s="23">
        <v>1.47E-3</v>
      </c>
      <c r="AQ19" s="23">
        <v>1.5499999999999999E-3</v>
      </c>
      <c r="AR19" s="23">
        <v>1.64E-3</v>
      </c>
      <c r="AS19" s="23">
        <v>1.73E-3</v>
      </c>
      <c r="AT19" s="23">
        <v>1.8400000000000001E-3</v>
      </c>
      <c r="AU19" s="23">
        <v>1.9499999999999999E-3</v>
      </c>
      <c r="AV19" s="23">
        <v>2.0699999999999998E-3</v>
      </c>
      <c r="AW19" s="23">
        <v>2.2100000000000002E-3</v>
      </c>
      <c r="AX19" s="23">
        <v>2.3600000000000001E-3</v>
      </c>
      <c r="AY19" s="23">
        <v>2.5600000000000002E-3</v>
      </c>
      <c r="AZ19" s="23">
        <v>2.7899999999999999E-3</v>
      </c>
      <c r="BA19" s="23">
        <v>3.0899999999999999E-3</v>
      </c>
      <c r="BB19" s="23">
        <v>3.47E-3</v>
      </c>
      <c r="BC19" s="23">
        <v>3.9500000000000004E-3</v>
      </c>
      <c r="BD19" s="23">
        <v>4.5399999999999998E-3</v>
      </c>
      <c r="BE19" s="23">
        <v>5.2500000000000003E-3</v>
      </c>
      <c r="BF19" s="23">
        <v>6.11E-3</v>
      </c>
      <c r="BG19" s="23">
        <v>7.1199999999999996E-3</v>
      </c>
      <c r="BH19" s="23">
        <v>8.3800000000000003E-3</v>
      </c>
      <c r="BI19" s="23">
        <v>9.3299999999999998E-3</v>
      </c>
      <c r="BJ19" s="23">
        <v>1.035E-2</v>
      </c>
      <c r="BK19" s="23">
        <v>1.1440000000000001E-2</v>
      </c>
      <c r="BL19" s="23">
        <v>1.264E-2</v>
      </c>
      <c r="BM19" s="23">
        <v>1.4149999999999999E-2</v>
      </c>
      <c r="BN19" s="23">
        <v>1.6209999999999999E-2</v>
      </c>
      <c r="BO19" s="23">
        <v>1.907E-2</v>
      </c>
      <c r="BP19" s="23">
        <v>2.2950000000000002E-2</v>
      </c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3"/>
      <c r="DZ19" s="23"/>
    </row>
    <row r="20" spans="1:130">
      <c r="A20" s="28" t="s">
        <v>201</v>
      </c>
      <c r="B20" s="27" t="s">
        <v>172</v>
      </c>
      <c r="C20" s="28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>
        <v>7.6000000000000004E-4</v>
      </c>
      <c r="Y20" s="23">
        <v>8.1999999999999998E-4</v>
      </c>
      <c r="Z20" s="23">
        <v>8.8000000000000003E-4</v>
      </c>
      <c r="AA20" s="23">
        <v>9.2000000000000003E-4</v>
      </c>
      <c r="AB20" s="23">
        <v>9.6000000000000002E-4</v>
      </c>
      <c r="AC20" s="23">
        <v>1E-3</v>
      </c>
      <c r="AD20" s="23">
        <v>1.0200000000000001E-3</v>
      </c>
      <c r="AE20" s="23">
        <v>1.0499999999999999E-3</v>
      </c>
      <c r="AF20" s="23">
        <v>1.07E-3</v>
      </c>
      <c r="AG20" s="23">
        <v>1.1000000000000001E-3</v>
      </c>
      <c r="AH20" s="23">
        <v>1.1199999999999999E-3</v>
      </c>
      <c r="AI20" s="23">
        <v>1.15E-3</v>
      </c>
      <c r="AJ20" s="23">
        <v>1.1800000000000001E-3</v>
      </c>
      <c r="AK20" s="23">
        <v>1.2099999999999999E-3</v>
      </c>
      <c r="AL20" s="23">
        <v>1.24E-3</v>
      </c>
      <c r="AM20" s="23">
        <v>1.2899999999999999E-3</v>
      </c>
      <c r="AN20" s="23">
        <v>1.34E-3</v>
      </c>
      <c r="AO20" s="23">
        <v>1.4E-3</v>
      </c>
      <c r="AP20" s="23">
        <v>1.47E-3</v>
      </c>
      <c r="AQ20" s="23">
        <v>1.5499999999999999E-3</v>
      </c>
      <c r="AR20" s="23">
        <v>1.64E-3</v>
      </c>
      <c r="AS20" s="23">
        <v>1.73E-3</v>
      </c>
      <c r="AT20" s="23">
        <v>1.8400000000000001E-3</v>
      </c>
      <c r="AU20" s="23">
        <v>1.9499999999999999E-3</v>
      </c>
      <c r="AV20" s="23">
        <v>2.0699999999999998E-3</v>
      </c>
      <c r="AW20" s="23">
        <v>2.2100000000000002E-3</v>
      </c>
      <c r="AX20" s="23">
        <v>2.3600000000000001E-3</v>
      </c>
      <c r="AY20" s="23">
        <v>2.5600000000000002E-3</v>
      </c>
      <c r="AZ20" s="23">
        <v>2.7899999999999999E-3</v>
      </c>
      <c r="BA20" s="23">
        <v>3.0899999999999999E-3</v>
      </c>
      <c r="BB20" s="23">
        <v>3.47E-3</v>
      </c>
      <c r="BC20" s="23">
        <v>3.9500000000000004E-3</v>
      </c>
      <c r="BD20" s="23">
        <v>4.5399999999999998E-3</v>
      </c>
      <c r="BE20" s="23">
        <v>5.2500000000000003E-3</v>
      </c>
      <c r="BF20" s="23">
        <v>6.11E-3</v>
      </c>
      <c r="BG20" s="23">
        <v>7.1199999999999996E-3</v>
      </c>
      <c r="BH20" s="23">
        <v>8.3800000000000003E-3</v>
      </c>
      <c r="BI20" s="23">
        <v>9.3299999999999998E-3</v>
      </c>
      <c r="BJ20" s="23">
        <v>1.035E-2</v>
      </c>
      <c r="BK20" s="23">
        <v>1.1440000000000001E-2</v>
      </c>
      <c r="BL20" s="23">
        <v>1.264E-2</v>
      </c>
      <c r="BM20" s="23">
        <v>1.4149999999999999E-2</v>
      </c>
      <c r="BN20" s="23">
        <v>1.6209999999999999E-2</v>
      </c>
      <c r="BO20" s="23">
        <v>1.907E-2</v>
      </c>
      <c r="BP20" s="23">
        <v>2.2950000000000002E-2</v>
      </c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3"/>
      <c r="DW20" s="23"/>
      <c r="DX20" s="23"/>
      <c r="DY20" s="23"/>
      <c r="DZ20" s="23"/>
    </row>
    <row r="21" spans="1:130">
      <c r="A21" s="2" t="s">
        <v>201</v>
      </c>
      <c r="B21" s="4" t="s">
        <v>177</v>
      </c>
      <c r="C21" s="2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>
        <v>1E-4</v>
      </c>
      <c r="AI21" s="11">
        <v>2.9999999999999997E-4</v>
      </c>
      <c r="AJ21" s="11">
        <v>4.0000000000000002E-4</v>
      </c>
      <c r="AK21" s="11">
        <v>5.0000000000000001E-4</v>
      </c>
      <c r="AL21" s="11">
        <v>5.9999999999999995E-4</v>
      </c>
      <c r="AM21" s="11">
        <v>8.0000000000000004E-4</v>
      </c>
      <c r="AN21" s="11">
        <v>8.0000000000000004E-4</v>
      </c>
      <c r="AO21" s="11">
        <v>8.9999999999999998E-4</v>
      </c>
      <c r="AP21" s="11">
        <v>1E-3</v>
      </c>
      <c r="AQ21" s="11">
        <v>1.1000000000000001E-3</v>
      </c>
      <c r="AR21" s="11">
        <v>1.5E-3</v>
      </c>
      <c r="AS21" s="11">
        <v>2E-3</v>
      </c>
      <c r="AT21" s="11">
        <v>2.5000000000000001E-3</v>
      </c>
      <c r="AU21" s="11">
        <v>3.0000000000000001E-3</v>
      </c>
      <c r="AV21" s="11">
        <v>3.5000000000000001E-3</v>
      </c>
      <c r="AW21" s="11">
        <v>4.0000000000000001E-3</v>
      </c>
      <c r="AX21" s="11">
        <v>4.4999999999999997E-3</v>
      </c>
      <c r="AY21" s="11">
        <v>5.0000000000000001E-3</v>
      </c>
      <c r="AZ21" s="11">
        <v>5.7000000000000002E-3</v>
      </c>
      <c r="BA21" s="11">
        <v>6.4000000000000003E-3</v>
      </c>
      <c r="BB21" s="11">
        <v>7.3000000000000001E-3</v>
      </c>
      <c r="BC21" s="11">
        <v>8.3000000000000001E-3</v>
      </c>
      <c r="BD21" s="11">
        <v>9.4000000000000004E-3</v>
      </c>
      <c r="BE21" s="11">
        <v>1.0800000000000001E-2</v>
      </c>
      <c r="BF21" s="11">
        <v>1.24E-2</v>
      </c>
      <c r="BG21" s="11">
        <v>1.4E-2</v>
      </c>
      <c r="BH21" s="11">
        <v>1.5800000000000002E-2</v>
      </c>
      <c r="BI21" s="11">
        <v>1.78E-2</v>
      </c>
      <c r="BJ21" s="11">
        <v>1.9900000000000001E-2</v>
      </c>
      <c r="BK21" s="11">
        <v>2.2200000000000001E-2</v>
      </c>
      <c r="BL21" s="11">
        <v>2.4799999999999999E-2</v>
      </c>
      <c r="BM21" s="11">
        <v>2.92E-2</v>
      </c>
      <c r="BN21" s="11">
        <v>3.4500000000000003E-2</v>
      </c>
      <c r="BO21" s="11">
        <v>3.4000000000000002E-2</v>
      </c>
      <c r="BP21" s="11">
        <v>0.03</v>
      </c>
      <c r="BQ21" s="11">
        <v>0.03</v>
      </c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</row>
    <row r="22" spans="1:130" ht="30">
      <c r="A22" s="2" t="s">
        <v>201</v>
      </c>
      <c r="B22" s="4" t="s">
        <v>174</v>
      </c>
      <c r="C22" s="2" t="s">
        <v>217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4.0000000000000003E-5</v>
      </c>
      <c r="Y22" s="11">
        <v>8.0000000000000007E-5</v>
      </c>
      <c r="Z22" s="11">
        <v>1.1E-4</v>
      </c>
      <c r="AA22" s="11">
        <v>1.3999999999999999E-4</v>
      </c>
      <c r="AB22" s="11">
        <v>1.8000000000000001E-4</v>
      </c>
      <c r="AC22" s="11">
        <v>2.2000000000000001E-4</v>
      </c>
      <c r="AD22" s="11">
        <v>2.7E-4</v>
      </c>
      <c r="AE22" s="11">
        <v>3.3E-4</v>
      </c>
      <c r="AF22" s="11">
        <v>3.8000000000000002E-4</v>
      </c>
      <c r="AG22" s="11">
        <v>4.4999999999999999E-4</v>
      </c>
      <c r="AH22" s="11">
        <v>5.2999999999999998E-4</v>
      </c>
      <c r="AI22" s="11">
        <v>6.2E-4</v>
      </c>
      <c r="AJ22" s="11">
        <v>7.2000000000000005E-4</v>
      </c>
      <c r="AK22" s="11">
        <v>8.3000000000000001E-4</v>
      </c>
      <c r="AL22" s="11">
        <v>9.5E-4</v>
      </c>
      <c r="AM22" s="11">
        <v>1.09E-3</v>
      </c>
      <c r="AN22" s="11">
        <v>1.24E-3</v>
      </c>
      <c r="AO22" s="11">
        <v>1.39E-3</v>
      </c>
      <c r="AP22" s="11">
        <v>1.57E-3</v>
      </c>
      <c r="AQ22" s="11">
        <v>1.7700000000000001E-3</v>
      </c>
      <c r="AR22" s="11">
        <v>2E-3</v>
      </c>
      <c r="AS22" s="11">
        <v>2.2799999999999999E-3</v>
      </c>
      <c r="AT22" s="11">
        <v>2.5799999999999998E-3</v>
      </c>
      <c r="AU22" s="11">
        <v>2.9099999999999998E-3</v>
      </c>
      <c r="AV22" s="11">
        <v>3.2699999999999999E-3</v>
      </c>
      <c r="AW22" s="11">
        <v>3.6600000000000001E-3</v>
      </c>
      <c r="AX22" s="11">
        <v>4.0499999999999998E-3</v>
      </c>
      <c r="AY22" s="11">
        <v>4.47E-3</v>
      </c>
      <c r="AZ22" s="11">
        <v>4.9100000000000003E-3</v>
      </c>
      <c r="BA22" s="11">
        <v>5.4099999999999999E-3</v>
      </c>
      <c r="BB22" s="11">
        <v>5.9699999999999996E-3</v>
      </c>
      <c r="BC22" s="11">
        <v>6.5900000000000004E-3</v>
      </c>
      <c r="BD22" s="11">
        <v>7.2500000000000004E-3</v>
      </c>
      <c r="BE22" s="11">
        <v>7.9699999999999997E-3</v>
      </c>
      <c r="BF22" s="11">
        <v>8.7799999999999996E-3</v>
      </c>
      <c r="BG22" s="11">
        <v>9.7000000000000003E-3</v>
      </c>
      <c r="BH22" s="11">
        <v>1.0789999999999999E-2</v>
      </c>
      <c r="BI22" s="11">
        <v>1.205E-2</v>
      </c>
      <c r="BJ22" s="11">
        <v>1.336E-2</v>
      </c>
      <c r="BK22" s="11">
        <v>1.4630000000000001E-2</v>
      </c>
      <c r="BL22" s="11">
        <v>1.5769999999999999E-2</v>
      </c>
      <c r="BM22" s="11">
        <v>1.6979999999999999E-2</v>
      </c>
      <c r="BN22" s="11">
        <v>1.8339999999999999E-2</v>
      </c>
      <c r="BO22" s="11">
        <v>1.951E-2</v>
      </c>
      <c r="BP22" s="11">
        <v>2.018E-2</v>
      </c>
      <c r="BQ22" s="11">
        <v>2.001E-2</v>
      </c>
      <c r="BR22" s="11">
        <v>1.6480000000000002E-2</v>
      </c>
      <c r="BS22" s="11">
        <v>1.3899999999999999E-2</v>
      </c>
      <c r="BT22" s="11">
        <v>1.1379999999999999E-2</v>
      </c>
      <c r="BU22" s="11">
        <v>9.1599999999999997E-3</v>
      </c>
      <c r="BV22" s="11">
        <v>8.5000000000000006E-3</v>
      </c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</row>
    <row r="23" spans="1:130">
      <c r="A23" s="2" t="s">
        <v>201</v>
      </c>
      <c r="B23" s="4" t="s">
        <v>180</v>
      </c>
      <c r="C23" s="2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>
        <v>1.8E-3</v>
      </c>
      <c r="U23" s="11">
        <v>1.8E-3</v>
      </c>
      <c r="V23" s="11">
        <v>1.8E-3</v>
      </c>
      <c r="W23" s="11">
        <v>1.8E-3</v>
      </c>
      <c r="X23" s="11">
        <v>1.8E-3</v>
      </c>
      <c r="Y23" s="11">
        <v>1.8E-3</v>
      </c>
      <c r="Z23" s="11">
        <v>1.8E-3</v>
      </c>
      <c r="AA23" s="11">
        <v>1.8E-3</v>
      </c>
      <c r="AB23" s="11">
        <v>1.8E-3</v>
      </c>
      <c r="AC23" s="11">
        <v>1.8E-3</v>
      </c>
      <c r="AD23" s="11">
        <v>1.8E-3</v>
      </c>
      <c r="AE23" s="11">
        <v>1.8E-3</v>
      </c>
      <c r="AF23" s="11">
        <v>1.8E-3</v>
      </c>
      <c r="AG23" s="11">
        <v>1.8E-3</v>
      </c>
      <c r="AH23" s="11">
        <v>1.8E-3</v>
      </c>
      <c r="AI23" s="11">
        <v>1.82E-3</v>
      </c>
      <c r="AJ23" s="11">
        <v>1.83E-3</v>
      </c>
      <c r="AK23" s="11">
        <v>1.8600000000000001E-3</v>
      </c>
      <c r="AL23" s="11">
        <v>1.89E-3</v>
      </c>
      <c r="AM23" s="11">
        <v>1.92E-3</v>
      </c>
      <c r="AN23" s="11">
        <v>1.9499999999999999E-3</v>
      </c>
      <c r="AO23" s="11">
        <v>2E-3</v>
      </c>
      <c r="AP23" s="11">
        <v>2.0600000000000002E-3</v>
      </c>
      <c r="AQ23" s="11">
        <v>2.1299999999999999E-3</v>
      </c>
      <c r="AR23" s="11">
        <v>2.2100000000000002E-3</v>
      </c>
      <c r="AS23" s="11">
        <v>2.3E-3</v>
      </c>
      <c r="AT23" s="11">
        <v>2.3900000000000002E-3</v>
      </c>
      <c r="AU23" s="11">
        <v>2.5400000000000002E-3</v>
      </c>
      <c r="AV23" s="11">
        <v>2.7499999999999998E-3</v>
      </c>
      <c r="AW23" s="11">
        <v>2.97E-3</v>
      </c>
      <c r="AX23" s="11">
        <v>3.32E-3</v>
      </c>
      <c r="AY23" s="11">
        <v>3.7399999999999998E-3</v>
      </c>
      <c r="AZ23" s="11">
        <v>4.2100000000000002E-3</v>
      </c>
      <c r="BA23" s="11">
        <v>4.7299999999999998E-3</v>
      </c>
      <c r="BB23" s="11">
        <v>5.3499999999999997E-3</v>
      </c>
      <c r="BC23" s="11">
        <v>6.0800000000000003E-3</v>
      </c>
      <c r="BD23" s="11">
        <v>6.94E-3</v>
      </c>
      <c r="BE23" s="11">
        <v>7.8399999999999997E-3</v>
      </c>
      <c r="BF23" s="11">
        <v>8.8900000000000003E-3</v>
      </c>
      <c r="BG23" s="11">
        <v>1.022E-2</v>
      </c>
      <c r="BH23" s="11">
        <v>1.187E-2</v>
      </c>
      <c r="BI23" s="11">
        <v>1.3950000000000001E-2</v>
      </c>
      <c r="BJ23" s="11">
        <v>1.6650000000000002E-2</v>
      </c>
      <c r="BK23" s="11">
        <v>1.89E-2</v>
      </c>
      <c r="BL23" s="11">
        <v>2.07E-2</v>
      </c>
      <c r="BM23" s="11">
        <v>2.206E-2</v>
      </c>
      <c r="BN23" s="11">
        <v>2.3130000000000001E-2</v>
      </c>
      <c r="BO23" s="11">
        <v>2.3970000000000002E-2</v>
      </c>
      <c r="BP23" s="11">
        <v>2.46E-2</v>
      </c>
      <c r="BQ23" s="11">
        <v>2.46E-2</v>
      </c>
      <c r="BR23" s="11">
        <v>2.46E-2</v>
      </c>
      <c r="BS23" s="11">
        <v>2.46E-2</v>
      </c>
      <c r="BT23" s="11">
        <v>2.46E-2</v>
      </c>
      <c r="BU23" s="11">
        <v>2.46E-2</v>
      </c>
      <c r="BV23" s="11">
        <v>2.46E-2</v>
      </c>
      <c r="BW23" s="11">
        <v>2.46E-2</v>
      </c>
      <c r="BX23" s="11">
        <v>2.46E-2</v>
      </c>
      <c r="BY23" s="11">
        <v>2.46E-2</v>
      </c>
      <c r="BZ23" s="11">
        <v>2.46E-2</v>
      </c>
      <c r="CA23" s="11">
        <v>2.46E-2</v>
      </c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</row>
    <row r="24" spans="1:130">
      <c r="A24" s="2" t="s">
        <v>201</v>
      </c>
      <c r="B24" s="4" t="s">
        <v>179</v>
      </c>
      <c r="C24" s="2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1.1999999999999999E-3</v>
      </c>
      <c r="U24" s="11">
        <v>1.1999999999999999E-3</v>
      </c>
      <c r="V24" s="11">
        <v>1.1999999999999999E-3</v>
      </c>
      <c r="W24" s="11">
        <v>1.1999999999999999E-3</v>
      </c>
      <c r="X24" s="11">
        <v>1.1999999999999999E-3</v>
      </c>
      <c r="Y24" s="11">
        <v>1.1999999999999999E-3</v>
      </c>
      <c r="Z24" s="11">
        <v>1.1999999999999999E-3</v>
      </c>
      <c r="AA24" s="11">
        <v>1.1999999999999999E-3</v>
      </c>
      <c r="AB24" s="11">
        <v>1.1999999999999999E-3</v>
      </c>
      <c r="AC24" s="11">
        <v>1.1999999999999999E-3</v>
      </c>
      <c r="AD24" s="11">
        <v>1.1999999999999999E-3</v>
      </c>
      <c r="AE24" s="11">
        <v>1.1999999999999999E-3</v>
      </c>
      <c r="AF24" s="11">
        <v>1.1999999999999999E-3</v>
      </c>
      <c r="AG24" s="11">
        <v>1.1999999999999999E-3</v>
      </c>
      <c r="AH24" s="11">
        <v>1.1999999999999999E-3</v>
      </c>
      <c r="AI24" s="11">
        <v>1.2099999999999999E-3</v>
      </c>
      <c r="AJ24" s="11">
        <v>1.2199999999999999E-3</v>
      </c>
      <c r="AK24" s="11">
        <v>1.24E-3</v>
      </c>
      <c r="AL24" s="11">
        <v>1.2600000000000001E-3</v>
      </c>
      <c r="AM24" s="11">
        <v>1.2800000000000001E-3</v>
      </c>
      <c r="AN24" s="11">
        <v>1.2999999999999999E-3</v>
      </c>
      <c r="AO24" s="11">
        <v>1.33E-3</v>
      </c>
      <c r="AP24" s="11">
        <v>1.3699999999999999E-3</v>
      </c>
      <c r="AQ24" s="11">
        <v>1.42E-3</v>
      </c>
      <c r="AR24" s="11">
        <v>1.47E-3</v>
      </c>
      <c r="AS24" s="11">
        <v>1.5299999999999999E-3</v>
      </c>
      <c r="AT24" s="11">
        <v>1.5900000000000001E-3</v>
      </c>
      <c r="AU24" s="11">
        <v>1.6900000000000001E-3</v>
      </c>
      <c r="AV24" s="11">
        <v>1.83E-3</v>
      </c>
      <c r="AW24" s="11">
        <v>1.98E-3</v>
      </c>
      <c r="AX24" s="11">
        <v>2.2100000000000002E-3</v>
      </c>
      <c r="AY24" s="11">
        <v>2.49E-3</v>
      </c>
      <c r="AZ24" s="11">
        <v>2.81E-3</v>
      </c>
      <c r="BA24" s="11">
        <v>3.15E-3</v>
      </c>
      <c r="BB24" s="11">
        <v>3.5699999999999998E-3</v>
      </c>
      <c r="BC24" s="11">
        <v>4.0499999999999998E-3</v>
      </c>
      <c r="BD24" s="11">
        <v>4.6299999999999996E-3</v>
      </c>
      <c r="BE24" s="11">
        <v>5.2300000000000003E-3</v>
      </c>
      <c r="BF24" s="11">
        <v>5.9300000000000004E-3</v>
      </c>
      <c r="BG24" s="11">
        <v>6.8100000000000001E-3</v>
      </c>
      <c r="BH24" s="11">
        <v>7.9100000000000004E-3</v>
      </c>
      <c r="BI24" s="11">
        <v>9.2999999999999992E-3</v>
      </c>
      <c r="BJ24" s="11">
        <v>1.11E-2</v>
      </c>
      <c r="BK24" s="11">
        <v>1.26E-2</v>
      </c>
      <c r="BL24" s="11">
        <v>1.38E-2</v>
      </c>
      <c r="BM24" s="11">
        <v>1.4710000000000001E-2</v>
      </c>
      <c r="BN24" s="11">
        <v>1.542E-2</v>
      </c>
      <c r="BO24" s="11">
        <v>1.5980000000000001E-2</v>
      </c>
      <c r="BP24" s="11">
        <v>1.6400000000000001E-2</v>
      </c>
      <c r="BQ24" s="11">
        <v>1.6400000000000001E-2</v>
      </c>
      <c r="BR24" s="11">
        <v>1.6400000000000001E-2</v>
      </c>
      <c r="BS24" s="11">
        <v>1.6400000000000001E-2</v>
      </c>
      <c r="BT24" s="11">
        <v>1.6400000000000001E-2</v>
      </c>
      <c r="BU24" s="11">
        <v>1.6400000000000001E-2</v>
      </c>
      <c r="BV24" s="11">
        <v>1.6400000000000001E-2</v>
      </c>
      <c r="BW24" s="11">
        <v>1.6400000000000001E-2</v>
      </c>
      <c r="BX24" s="11">
        <v>1.6400000000000001E-2</v>
      </c>
      <c r="BY24" s="11">
        <v>1.6400000000000001E-2</v>
      </c>
      <c r="BZ24" s="11">
        <v>1.6400000000000001E-2</v>
      </c>
      <c r="CA24" s="11">
        <v>1.6400000000000001E-2</v>
      </c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</row>
    <row r="25" spans="1:130">
      <c r="A25" s="2" t="s">
        <v>201</v>
      </c>
      <c r="B25" s="4" t="s">
        <v>176</v>
      </c>
      <c r="C25" s="2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>
        <v>3.6000000000000002E-4</v>
      </c>
      <c r="T25" s="11">
        <v>3.6999999999999999E-4</v>
      </c>
      <c r="U25" s="11">
        <v>3.8000000000000002E-4</v>
      </c>
      <c r="V25" s="11">
        <v>4.0000000000000002E-4</v>
      </c>
      <c r="W25" s="11">
        <v>4.2999999999999999E-4</v>
      </c>
      <c r="X25" s="11">
        <v>4.6000000000000001E-4</v>
      </c>
      <c r="Y25" s="11">
        <v>4.8999999999999998E-4</v>
      </c>
      <c r="Z25" s="11">
        <v>5.1999999999999995E-4</v>
      </c>
      <c r="AA25" s="11">
        <v>5.5000000000000003E-4</v>
      </c>
      <c r="AB25" s="11">
        <v>5.8E-4</v>
      </c>
      <c r="AC25" s="11">
        <v>6.0999999999999997E-4</v>
      </c>
      <c r="AD25" s="11">
        <v>6.3000000000000003E-4</v>
      </c>
      <c r="AE25" s="11">
        <v>6.4999999999999997E-4</v>
      </c>
      <c r="AF25" s="11">
        <v>6.6E-4</v>
      </c>
      <c r="AG25" s="11">
        <v>6.7000000000000002E-4</v>
      </c>
      <c r="AH25" s="11">
        <v>6.8000000000000005E-4</v>
      </c>
      <c r="AI25" s="11">
        <v>6.8999999999999997E-4</v>
      </c>
      <c r="AJ25" s="11">
        <v>6.9999999999999999E-4</v>
      </c>
      <c r="AK25" s="11">
        <v>6.9999999999999999E-4</v>
      </c>
      <c r="AL25" s="11">
        <v>7.1000000000000002E-4</v>
      </c>
      <c r="AM25" s="11">
        <v>7.1000000000000002E-4</v>
      </c>
      <c r="AN25" s="11">
        <v>7.2000000000000005E-4</v>
      </c>
      <c r="AO25" s="11">
        <v>7.3999999999999999E-4</v>
      </c>
      <c r="AP25" s="11">
        <v>7.6000000000000004E-4</v>
      </c>
      <c r="AQ25" s="11">
        <v>7.9000000000000001E-4</v>
      </c>
      <c r="AR25" s="11">
        <v>8.3000000000000001E-4</v>
      </c>
      <c r="AS25" s="11">
        <v>8.7000000000000001E-4</v>
      </c>
      <c r="AT25" s="11">
        <v>9.2000000000000003E-4</v>
      </c>
      <c r="AU25" s="11">
        <v>9.7999999999999997E-4</v>
      </c>
      <c r="AV25" s="11">
        <v>1.0399999999999999E-3</v>
      </c>
      <c r="AW25" s="11">
        <v>1.1100000000000001E-3</v>
      </c>
      <c r="AX25" s="11">
        <v>1.1900000000000001E-3</v>
      </c>
      <c r="AY25" s="11">
        <v>1.2899999999999999E-3</v>
      </c>
      <c r="AZ25" s="11">
        <v>1.4E-3</v>
      </c>
      <c r="BA25" s="11">
        <v>1.5299999999999999E-3</v>
      </c>
      <c r="BB25" s="11">
        <v>1.6800000000000001E-3</v>
      </c>
      <c r="BC25" s="11">
        <v>1.8400000000000001E-3</v>
      </c>
      <c r="BD25" s="11">
        <v>2.0300000000000001E-3</v>
      </c>
      <c r="BE25" s="11">
        <v>2.2499999999999998E-3</v>
      </c>
      <c r="BF25" s="11">
        <v>2.5000000000000001E-3</v>
      </c>
      <c r="BG25" s="11">
        <v>2.7599999999999999E-3</v>
      </c>
      <c r="BH25" s="11">
        <v>3.0599999999999998E-3</v>
      </c>
      <c r="BI25" s="11">
        <v>3.3899999999999998E-3</v>
      </c>
      <c r="BJ25" s="11">
        <v>3.7699999999999999E-3</v>
      </c>
      <c r="BK25" s="11">
        <v>4.1799999999999997E-3</v>
      </c>
      <c r="BL25" s="11">
        <v>4.6800000000000001E-3</v>
      </c>
      <c r="BM25" s="11">
        <v>5.28E-3</v>
      </c>
      <c r="BN25" s="11">
        <v>6.0000000000000001E-3</v>
      </c>
      <c r="BO25" s="11">
        <v>6.8900000000000003E-3</v>
      </c>
      <c r="BP25" s="11">
        <v>8.0599999999999995E-3</v>
      </c>
      <c r="BQ25" s="11">
        <v>9.58E-3</v>
      </c>
      <c r="BR25" s="11">
        <v>1.158E-2</v>
      </c>
      <c r="BS25" s="11">
        <v>1.4290000000000001E-2</v>
      </c>
      <c r="BT25" s="11">
        <v>1.7909999999999999E-2</v>
      </c>
      <c r="BU25" s="11">
        <v>2.2800000000000001E-2</v>
      </c>
      <c r="BV25" s="11">
        <v>2.9579999999999999E-2</v>
      </c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</row>
    <row r="26" spans="1:130">
      <c r="A26" s="2" t="s">
        <v>201</v>
      </c>
      <c r="B26" s="4" t="s">
        <v>173</v>
      </c>
      <c r="C26" s="2"/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2.2000000000000001E-4</v>
      </c>
      <c r="T26" s="11">
        <v>2.4000000000000001E-4</v>
      </c>
      <c r="U26" s="11">
        <v>2.5000000000000001E-4</v>
      </c>
      <c r="V26" s="11">
        <v>2.5999999999999998E-4</v>
      </c>
      <c r="W26" s="11">
        <v>2.7999999999999998E-4</v>
      </c>
      <c r="X26" s="11">
        <v>2.9999999999999997E-4</v>
      </c>
      <c r="Y26" s="11">
        <v>3.1E-4</v>
      </c>
      <c r="Z26" s="11">
        <v>3.4000000000000002E-4</v>
      </c>
      <c r="AA26" s="11">
        <v>3.6000000000000002E-4</v>
      </c>
      <c r="AB26" s="11">
        <v>4.0000000000000002E-4</v>
      </c>
      <c r="AC26" s="11">
        <v>4.2999999999999999E-4</v>
      </c>
      <c r="AD26" s="11">
        <v>4.6999999999999999E-4</v>
      </c>
      <c r="AE26" s="11">
        <v>5.1000000000000004E-4</v>
      </c>
      <c r="AF26" s="11">
        <v>5.5000000000000003E-4</v>
      </c>
      <c r="AG26" s="11">
        <v>5.9000000000000003E-4</v>
      </c>
      <c r="AH26" s="11">
        <v>6.4000000000000005E-4</v>
      </c>
      <c r="AI26" s="11">
        <v>6.8000000000000005E-4</v>
      </c>
      <c r="AJ26" s="11">
        <v>7.5000000000000002E-4</v>
      </c>
      <c r="AK26" s="11">
        <v>8.0999999999999996E-4</v>
      </c>
      <c r="AL26" s="11">
        <v>8.9999999999999998E-4</v>
      </c>
      <c r="AM26" s="11">
        <v>9.7999999999999997E-4</v>
      </c>
      <c r="AN26" s="11">
        <v>1.08E-3</v>
      </c>
      <c r="AO26" s="11">
        <v>1.1900000000000001E-3</v>
      </c>
      <c r="AP26" s="11">
        <v>1.31E-3</v>
      </c>
      <c r="AQ26" s="11">
        <v>1.4300000000000001E-3</v>
      </c>
      <c r="AR26" s="11">
        <v>1.58E-3</v>
      </c>
      <c r="AS26" s="11">
        <v>1.74E-3</v>
      </c>
      <c r="AT26" s="11">
        <v>1.9300000000000001E-3</v>
      </c>
      <c r="AU26" s="11">
        <v>2.1299999999999999E-3</v>
      </c>
      <c r="AV26" s="11">
        <v>2.3400000000000001E-3</v>
      </c>
      <c r="AW26" s="11">
        <v>2.5899999999999999E-3</v>
      </c>
      <c r="AX26" s="11">
        <v>2.8700000000000002E-3</v>
      </c>
      <c r="AY26" s="11">
        <v>3.2200000000000002E-3</v>
      </c>
      <c r="AZ26" s="11">
        <v>3.5999999999999999E-3</v>
      </c>
      <c r="BA26" s="11">
        <v>4.0099999999999997E-3</v>
      </c>
      <c r="BB26" s="11">
        <v>4.4799999999999996E-3</v>
      </c>
      <c r="BC26" s="11">
        <v>5.0200000000000002E-3</v>
      </c>
      <c r="BD26" s="11">
        <v>5.6800000000000002E-3</v>
      </c>
      <c r="BE26" s="11">
        <v>6.4799999999999996E-3</v>
      </c>
      <c r="BF26" s="11">
        <v>7.4400000000000004E-3</v>
      </c>
      <c r="BG26" s="11">
        <v>8.4499999999999992E-3</v>
      </c>
      <c r="BH26" s="11">
        <v>9.41E-3</v>
      </c>
      <c r="BI26" s="11">
        <v>1.026E-2</v>
      </c>
      <c r="BJ26" s="11">
        <v>1.0840000000000001E-2</v>
      </c>
      <c r="BK26" s="11">
        <v>1.1429999999999999E-2</v>
      </c>
      <c r="BL26" s="11">
        <v>1.204E-2</v>
      </c>
      <c r="BM26" s="11">
        <v>1.2630000000000001E-2</v>
      </c>
      <c r="BN26" s="11">
        <v>1.32E-2</v>
      </c>
      <c r="BO26" s="11">
        <v>1.3899999999999999E-2</v>
      </c>
      <c r="BP26" s="11">
        <v>1.4630000000000001E-2</v>
      </c>
      <c r="BQ26" s="11">
        <v>1.54E-2</v>
      </c>
      <c r="BR26" s="11">
        <v>1.6219999999999998E-2</v>
      </c>
      <c r="BS26" s="11">
        <v>1.7100000000000001E-2</v>
      </c>
      <c r="BT26" s="11">
        <v>1.804E-2</v>
      </c>
      <c r="BU26" s="11">
        <v>1.9019999999999999E-2</v>
      </c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</row>
    <row r="27" spans="1:130">
      <c r="A27" s="28" t="s">
        <v>201</v>
      </c>
      <c r="B27" s="27" t="s">
        <v>168</v>
      </c>
      <c r="C27" s="28"/>
      <c r="D27" s="23">
        <v>0</v>
      </c>
      <c r="E27" s="23">
        <v>0</v>
      </c>
      <c r="F27" s="23">
        <v>0</v>
      </c>
      <c r="G27" s="23">
        <v>0</v>
      </c>
      <c r="H27" s="23">
        <v>0</v>
      </c>
      <c r="I27" s="23">
        <v>0</v>
      </c>
      <c r="J27" s="23">
        <v>0</v>
      </c>
      <c r="K27" s="23">
        <v>0</v>
      </c>
      <c r="L27" s="23">
        <v>0</v>
      </c>
      <c r="M27" s="23">
        <v>0</v>
      </c>
      <c r="N27" s="23">
        <v>0</v>
      </c>
      <c r="O27" s="23">
        <v>0</v>
      </c>
      <c r="P27" s="23">
        <v>0</v>
      </c>
      <c r="Q27" s="23">
        <v>0</v>
      </c>
      <c r="R27" s="23">
        <v>0</v>
      </c>
      <c r="S27" s="23">
        <v>0</v>
      </c>
      <c r="T27" s="23">
        <v>0</v>
      </c>
      <c r="U27" s="23">
        <v>0</v>
      </c>
      <c r="V27" s="23">
        <v>0</v>
      </c>
      <c r="W27" s="23">
        <v>0</v>
      </c>
      <c r="X27" s="23">
        <v>2.1000000000000001E-4</v>
      </c>
      <c r="Y27" s="23">
        <v>2.5999999999999998E-4</v>
      </c>
      <c r="Z27" s="23">
        <v>3.3E-4</v>
      </c>
      <c r="AA27" s="23">
        <v>4.0000000000000002E-4</v>
      </c>
      <c r="AB27" s="23">
        <v>4.6999999999999999E-4</v>
      </c>
      <c r="AC27" s="23">
        <v>5.4000000000000001E-4</v>
      </c>
      <c r="AD27" s="23">
        <v>6.2E-4</v>
      </c>
      <c r="AE27" s="23">
        <v>7.1000000000000002E-4</v>
      </c>
      <c r="AF27" s="23">
        <v>8.0000000000000004E-4</v>
      </c>
      <c r="AG27" s="23">
        <v>8.4999999999999995E-4</v>
      </c>
      <c r="AH27" s="23">
        <v>9.6000000000000002E-4</v>
      </c>
      <c r="AI27" s="23">
        <v>1.1299999999999999E-3</v>
      </c>
      <c r="AJ27" s="23">
        <v>1.31E-3</v>
      </c>
      <c r="AK27" s="23">
        <v>1.56E-3</v>
      </c>
      <c r="AL27" s="23">
        <v>1.8699999999999999E-3</v>
      </c>
      <c r="AM27" s="23">
        <v>2.2000000000000001E-3</v>
      </c>
      <c r="AN27" s="23">
        <v>2.48E-3</v>
      </c>
      <c r="AO27" s="23">
        <v>2.82E-3</v>
      </c>
      <c r="AP27" s="23">
        <v>3.0999999999999999E-3</v>
      </c>
      <c r="AQ27" s="23">
        <v>3.4099999999999998E-3</v>
      </c>
      <c r="AR27" s="23">
        <v>3.82E-3</v>
      </c>
      <c r="AS27" s="23">
        <v>4.3699999999999998E-3</v>
      </c>
      <c r="AT27" s="23">
        <v>4.8799999999999998E-3</v>
      </c>
      <c r="AU27" s="23">
        <v>5.5399999999999998E-3</v>
      </c>
      <c r="AV27" s="23">
        <v>6.2599999999999999E-3</v>
      </c>
      <c r="AW27" s="23">
        <v>6.9800000000000001E-3</v>
      </c>
      <c r="AX27" s="23">
        <v>7.7099999999999998E-3</v>
      </c>
      <c r="AY27" s="23">
        <v>8.8699999999999994E-3</v>
      </c>
      <c r="AZ27" s="23">
        <v>1.026E-2</v>
      </c>
      <c r="BA27" s="23">
        <v>1.1780000000000001E-2</v>
      </c>
      <c r="BB27" s="23">
        <v>1.375E-2</v>
      </c>
      <c r="BC27" s="23">
        <v>1.609E-2</v>
      </c>
      <c r="BD27" s="23">
        <v>1.8380000000000001E-2</v>
      </c>
      <c r="BE27" s="23">
        <v>2.0750000000000001E-2</v>
      </c>
      <c r="BF27" s="23">
        <v>2.3730000000000001E-2</v>
      </c>
      <c r="BG27" s="23">
        <v>2.6870000000000002E-2</v>
      </c>
      <c r="BH27" s="23">
        <v>3.0589999999999999E-2</v>
      </c>
      <c r="BI27" s="23">
        <v>3.5069999999999997E-2</v>
      </c>
      <c r="BJ27" s="23">
        <v>4.061E-2</v>
      </c>
      <c r="BK27" s="23">
        <v>4.6949999999999999E-2</v>
      </c>
      <c r="BL27" s="23">
        <v>5.4449999999999998E-2</v>
      </c>
      <c r="BM27" s="23">
        <v>6.1740000000000003E-2</v>
      </c>
      <c r="BN27" s="23">
        <v>7.0389999999999994E-2</v>
      </c>
      <c r="BO27" s="23">
        <v>7.9140000000000002E-2</v>
      </c>
      <c r="BP27" s="23">
        <v>8.8139999999999996E-2</v>
      </c>
      <c r="BQ27" s="23">
        <v>9.7519999999999996E-2</v>
      </c>
      <c r="BR27" s="23">
        <v>0.10851</v>
      </c>
      <c r="BS27" s="23">
        <v>0.12009</v>
      </c>
      <c r="BT27" s="23">
        <v>0.13166</v>
      </c>
      <c r="BU27" s="23">
        <v>0.14477999999999999</v>
      </c>
      <c r="BV27" s="23">
        <v>0.15781000000000001</v>
      </c>
      <c r="BW27" s="23">
        <v>0.17085</v>
      </c>
      <c r="BX27" s="23">
        <v>0.18373999999999999</v>
      </c>
      <c r="BY27" s="23">
        <v>0.19245999999999999</v>
      </c>
      <c r="BZ27" s="23">
        <v>0.19975000000000001</v>
      </c>
      <c r="CA27" s="23">
        <v>0.20616999999999999</v>
      </c>
      <c r="CB27" s="23">
        <v>0.21196999999999999</v>
      </c>
      <c r="CC27" s="23">
        <v>0.21729999999999999</v>
      </c>
      <c r="CD27" s="23">
        <v>0.22226000000000001</v>
      </c>
      <c r="CE27" s="23">
        <v>0.22692000000000001</v>
      </c>
      <c r="CF27" s="23">
        <v>0.23133999999999999</v>
      </c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23"/>
      <c r="DX27" s="23"/>
      <c r="DY27" s="23"/>
      <c r="DZ27" s="23"/>
    </row>
    <row r="28" spans="1:130">
      <c r="A28" s="28" t="s">
        <v>201</v>
      </c>
      <c r="B28" s="27" t="s">
        <v>160</v>
      </c>
      <c r="C28" s="28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>
        <v>1.0900000000000001E-4</v>
      </c>
      <c r="U28" s="23">
        <v>1.26E-4</v>
      </c>
      <c r="V28" s="23">
        <v>1.44E-4</v>
      </c>
      <c r="W28" s="23">
        <v>1.66E-4</v>
      </c>
      <c r="X28" s="23">
        <v>1.9000000000000001E-4</v>
      </c>
      <c r="Y28" s="23">
        <v>2.1900000000000001E-4</v>
      </c>
      <c r="Z28" s="23">
        <v>2.5099999999999998E-4</v>
      </c>
      <c r="AA28" s="23">
        <v>2.8899999999999998E-4</v>
      </c>
      <c r="AB28" s="23">
        <v>3.3100000000000002E-4</v>
      </c>
      <c r="AC28" s="23">
        <v>3.8099999999999999E-4</v>
      </c>
      <c r="AD28" s="23">
        <v>4.37E-4</v>
      </c>
      <c r="AE28" s="23">
        <v>5.0199999999999995E-4</v>
      </c>
      <c r="AF28" s="23">
        <v>5.7700000000000004E-4</v>
      </c>
      <c r="AG28" s="23">
        <v>6.6299999999999996E-4</v>
      </c>
      <c r="AH28" s="23">
        <v>7.6099999999999996E-4</v>
      </c>
      <c r="AI28" s="23">
        <v>8.7500000000000002E-4</v>
      </c>
      <c r="AJ28" s="23">
        <v>1.005E-3</v>
      </c>
      <c r="AK28" s="23">
        <v>1.1540000000000001E-3</v>
      </c>
      <c r="AL28" s="23">
        <v>1.3259999999999999E-3</v>
      </c>
      <c r="AM28" s="23">
        <v>1.523E-3</v>
      </c>
      <c r="AN28" s="23">
        <v>1.7489999999999999E-3</v>
      </c>
      <c r="AO28" s="23">
        <v>2.0100000000000001E-3</v>
      </c>
      <c r="AP28" s="23">
        <v>2.3080000000000002E-3</v>
      </c>
      <c r="AQ28" s="23">
        <v>2.6519999999999998E-3</v>
      </c>
      <c r="AR28" s="23">
        <v>3.0460000000000001E-3</v>
      </c>
      <c r="AS28" s="23">
        <v>3.4989999999999999E-3</v>
      </c>
      <c r="AT28" s="23">
        <v>4.019E-3</v>
      </c>
      <c r="AU28" s="23">
        <v>4.6169999999999996E-3</v>
      </c>
      <c r="AV28" s="23">
        <v>5.3030000000000004E-3</v>
      </c>
      <c r="AW28" s="23">
        <v>6.0920000000000002E-3</v>
      </c>
      <c r="AX28" s="23">
        <v>6.9979999999999999E-3</v>
      </c>
      <c r="AY28" s="23">
        <v>8.038E-3</v>
      </c>
      <c r="AZ28" s="23">
        <v>9.2339999999999992E-3</v>
      </c>
      <c r="BA28" s="23">
        <v>1.0607E-2</v>
      </c>
      <c r="BB28" s="23">
        <v>1.2184E-2</v>
      </c>
      <c r="BC28" s="23">
        <v>1.3996E-2</v>
      </c>
      <c r="BD28" s="23">
        <v>1.6077000000000001E-2</v>
      </c>
      <c r="BE28" s="23">
        <v>1.8467999999999998E-2</v>
      </c>
      <c r="BF28" s="23">
        <v>2.1214E-2</v>
      </c>
      <c r="BG28" s="23">
        <v>2.4368000000000001E-2</v>
      </c>
      <c r="BH28" s="23">
        <v>2.7992E-2</v>
      </c>
      <c r="BI28" s="23">
        <v>3.2154000000000002E-2</v>
      </c>
      <c r="BJ28" s="23">
        <v>3.6935000000000003E-2</v>
      </c>
      <c r="BK28" s="23">
        <v>4.2428E-2</v>
      </c>
      <c r="BL28" s="23">
        <v>4.8737000000000003E-2</v>
      </c>
      <c r="BM28" s="23">
        <v>5.5983999999999999E-2</v>
      </c>
      <c r="BN28" s="23">
        <v>6.4309000000000005E-2</v>
      </c>
      <c r="BO28" s="23">
        <v>7.3871000000000006E-2</v>
      </c>
      <c r="BP28" s="23">
        <v>8.4856000000000001E-2</v>
      </c>
      <c r="BQ28" s="23">
        <v>9.7474000000000005E-2</v>
      </c>
      <c r="BR28" s="23">
        <v>0.111968</v>
      </c>
      <c r="BS28" s="23">
        <v>0.12861800000000001</v>
      </c>
      <c r="BT28" s="23">
        <v>0.14774300000000001</v>
      </c>
      <c r="BU28" s="23">
        <v>0.169712</v>
      </c>
      <c r="BV28" s="23">
        <v>0.19494800000000001</v>
      </c>
      <c r="BW28" s="23">
        <v>0.223937</v>
      </c>
      <c r="BX28" s="23">
        <v>0.25723600000000002</v>
      </c>
      <c r="BY28" s="23">
        <v>0.295487</v>
      </c>
      <c r="BZ28" s="23">
        <v>0.33942600000000001</v>
      </c>
      <c r="CA28" s="23">
        <v>0.389899</v>
      </c>
      <c r="CB28" s="23">
        <v>0.44787700000000003</v>
      </c>
      <c r="CC28" s="23">
        <v>0.51447600000000004</v>
      </c>
      <c r="CD28" s="23">
        <v>0.59097900000000003</v>
      </c>
      <c r="CE28" s="23">
        <v>0.67885799999999996</v>
      </c>
      <c r="CF28" s="23">
        <v>0.77980400000000005</v>
      </c>
      <c r="CG28" s="23">
        <v>0.89576100000000003</v>
      </c>
      <c r="CH28" s="23">
        <v>1</v>
      </c>
      <c r="CI28" s="23">
        <v>1</v>
      </c>
      <c r="CJ28" s="23">
        <v>1</v>
      </c>
      <c r="CK28" s="23">
        <v>1</v>
      </c>
      <c r="CL28" s="23">
        <v>1</v>
      </c>
      <c r="CM28" s="23">
        <v>1</v>
      </c>
      <c r="CN28" s="23">
        <v>1</v>
      </c>
      <c r="CO28" s="23">
        <v>1</v>
      </c>
      <c r="CP28" s="23">
        <v>1</v>
      </c>
      <c r="CQ28" s="23">
        <v>1</v>
      </c>
      <c r="CR28" s="23">
        <v>1</v>
      </c>
      <c r="CS28" s="23">
        <v>1</v>
      </c>
      <c r="CT28" s="23">
        <v>1</v>
      </c>
      <c r="CU28" s="23">
        <v>1</v>
      </c>
      <c r="CV28" s="23">
        <v>1</v>
      </c>
      <c r="CW28" s="23">
        <v>1</v>
      </c>
      <c r="CX28" s="23">
        <v>1</v>
      </c>
      <c r="CY28" s="23">
        <v>1</v>
      </c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</row>
    <row r="29" spans="1:130">
      <c r="A29" s="2" t="s">
        <v>201</v>
      </c>
      <c r="B29" s="4" t="s">
        <v>182</v>
      </c>
      <c r="C29" s="2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>
        <v>2.0000000000000001E-4</v>
      </c>
      <c r="Y29" s="11">
        <v>2.3000000000000001E-4</v>
      </c>
      <c r="Z29" s="11">
        <v>2.5999999999999998E-4</v>
      </c>
      <c r="AA29" s="11">
        <v>2.9999999999999997E-4</v>
      </c>
      <c r="AB29" s="11">
        <v>3.4000000000000002E-4</v>
      </c>
      <c r="AC29" s="11">
        <v>3.8000000000000002E-4</v>
      </c>
      <c r="AD29" s="11">
        <v>4.2999999999999999E-4</v>
      </c>
      <c r="AE29" s="11">
        <v>4.8999999999999998E-4</v>
      </c>
      <c r="AF29" s="11">
        <v>5.4000000000000001E-4</v>
      </c>
      <c r="AG29" s="11">
        <v>6.6E-4</v>
      </c>
      <c r="AH29" s="11">
        <v>7.9000000000000001E-4</v>
      </c>
      <c r="AI29" s="11">
        <v>8.4999999999999995E-4</v>
      </c>
      <c r="AJ29" s="11">
        <v>1.07E-3</v>
      </c>
      <c r="AK29" s="11">
        <v>1.31E-3</v>
      </c>
      <c r="AL29" s="11">
        <v>1.5E-3</v>
      </c>
      <c r="AM29" s="11">
        <v>1.81E-3</v>
      </c>
      <c r="AN29" s="11">
        <v>2.1800000000000001E-3</v>
      </c>
      <c r="AO29" s="11">
        <v>2.3500000000000001E-3</v>
      </c>
      <c r="AP29" s="11">
        <v>2.6199999999999999E-3</v>
      </c>
      <c r="AQ29" s="11">
        <v>2.9299999999999999E-3</v>
      </c>
      <c r="AR29" s="11">
        <v>3.14E-3</v>
      </c>
      <c r="AS29" s="11">
        <v>3.2000000000000002E-3</v>
      </c>
      <c r="AT29" s="11">
        <v>3.5200000000000001E-3</v>
      </c>
      <c r="AU29" s="11">
        <v>3.7100000000000002E-3</v>
      </c>
      <c r="AV29" s="11">
        <v>4.1700000000000001E-3</v>
      </c>
      <c r="AW29" s="11">
        <v>4.6299999999999996E-3</v>
      </c>
      <c r="AX29" s="11">
        <v>5.7400000000000003E-3</v>
      </c>
      <c r="AY29" s="11">
        <v>6.5599999999999999E-3</v>
      </c>
      <c r="AZ29" s="11">
        <v>7.79E-3</v>
      </c>
      <c r="BA29" s="11">
        <v>8.6999999999999994E-3</v>
      </c>
      <c r="BB29" s="11">
        <v>1.0120000000000001E-2</v>
      </c>
      <c r="BC29" s="11">
        <v>1.1010000000000001E-2</v>
      </c>
      <c r="BD29" s="11">
        <v>1.213E-2</v>
      </c>
      <c r="BE29" s="11">
        <v>1.3310000000000001E-2</v>
      </c>
      <c r="BF29" s="11">
        <v>1.4540000000000001E-2</v>
      </c>
      <c r="BG29" s="11">
        <v>1.5440000000000001E-2</v>
      </c>
      <c r="BH29" s="11">
        <v>1.678E-2</v>
      </c>
      <c r="BI29" s="11">
        <v>1.9230000000000001E-2</v>
      </c>
      <c r="BJ29" s="11">
        <v>2.198E-2</v>
      </c>
      <c r="BK29" s="11">
        <v>2.6980000000000001E-2</v>
      </c>
      <c r="BL29" s="11">
        <v>3.3529999999999997E-2</v>
      </c>
      <c r="BM29" s="11">
        <v>4.2169999999999999E-2</v>
      </c>
      <c r="BN29" s="11">
        <v>5.4339999999999999E-2</v>
      </c>
      <c r="BO29" s="11">
        <v>5.9319999999999998E-2</v>
      </c>
      <c r="BP29" s="11">
        <v>6.8339999999999998E-2</v>
      </c>
      <c r="BQ29" s="11">
        <v>7.6300000000000007E-2</v>
      </c>
      <c r="BR29" s="11">
        <v>8.2930000000000004E-2</v>
      </c>
      <c r="BS29" s="11">
        <v>9.5089999999999994E-2</v>
      </c>
      <c r="BT29" s="11">
        <v>0.11103</v>
      </c>
      <c r="BU29" s="11">
        <v>0.12901000000000001</v>
      </c>
      <c r="BV29" s="11">
        <v>0.15509000000000001</v>
      </c>
      <c r="BW29" s="11">
        <v>0.18929000000000001</v>
      </c>
      <c r="BX29" s="11">
        <v>0.22126999999999999</v>
      </c>
      <c r="BY29" s="11">
        <v>0.25258000000000003</v>
      </c>
      <c r="BZ29" s="11">
        <v>0.28855999999999998</v>
      </c>
      <c r="CA29" s="11">
        <v>0.33090999999999998</v>
      </c>
      <c r="CB29" s="11">
        <v>0.38146999999999998</v>
      </c>
      <c r="CC29" s="11">
        <v>0.44288</v>
      </c>
      <c r="CD29" s="11">
        <v>0.51909000000000005</v>
      </c>
      <c r="CE29" s="11">
        <v>0.61319999999999997</v>
      </c>
      <c r="CF29" s="11">
        <v>0.74399000000000004</v>
      </c>
      <c r="CG29" s="11">
        <v>0.92</v>
      </c>
      <c r="CH29" s="11">
        <v>1</v>
      </c>
      <c r="CI29" s="11">
        <v>1</v>
      </c>
      <c r="CJ29" s="11">
        <v>1</v>
      </c>
      <c r="CK29" s="11">
        <v>1</v>
      </c>
      <c r="CL29" s="11">
        <v>1</v>
      </c>
      <c r="CM29" s="11">
        <v>1</v>
      </c>
      <c r="CN29" s="11">
        <v>1</v>
      </c>
      <c r="CO29" s="11">
        <v>1</v>
      </c>
      <c r="CP29" s="11">
        <v>1</v>
      </c>
      <c r="CQ29" s="11">
        <v>1</v>
      </c>
      <c r="CR29" s="11">
        <v>1</v>
      </c>
      <c r="CS29" s="11">
        <v>1</v>
      </c>
      <c r="CT29" s="11">
        <v>1</v>
      </c>
      <c r="CU29" s="11">
        <v>1</v>
      </c>
      <c r="CV29" s="11">
        <v>1</v>
      </c>
      <c r="CW29" s="11">
        <v>1</v>
      </c>
      <c r="CX29" s="11">
        <v>1</v>
      </c>
      <c r="CY29" s="11">
        <v>1</v>
      </c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</row>
  </sheetData>
  <phoneticPr fontId="0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DZ10"/>
  <sheetViews>
    <sheetView workbookViewId="0">
      <selection activeCell="B2" sqref="B2"/>
    </sheetView>
  </sheetViews>
  <sheetFormatPr defaultRowHeight="15"/>
  <cols>
    <col min="1" max="1" width="33.42578125" style="1" customWidth="1"/>
    <col min="2" max="2" width="31.28515625" style="1" bestFit="1" customWidth="1"/>
    <col min="3" max="3" width="22.140625" style="1" customWidth="1"/>
    <col min="4" max="84" width="11.5703125" style="1" bestFit="1" customWidth="1"/>
    <col min="85" max="124" width="10.5703125" style="1" bestFit="1" customWidth="1"/>
    <col min="125" max="130" width="10" style="1" bestFit="1" customWidth="1"/>
    <col min="131" max="16384" width="9.140625" style="1"/>
  </cols>
  <sheetData>
    <row r="2" spans="1:130" ht="18.75">
      <c r="A2" s="34"/>
      <c r="B2" s="34" t="s">
        <v>218</v>
      </c>
    </row>
    <row r="4" spans="1:130">
      <c r="A4" s="2" t="s">
        <v>193</v>
      </c>
      <c r="B4" s="2" t="s">
        <v>1</v>
      </c>
      <c r="C4" s="2" t="s">
        <v>2</v>
      </c>
      <c r="D4" s="3">
        <v>0</v>
      </c>
      <c r="E4" s="3">
        <f t="shared" ref="E4:AJ4" si="0">D4+1</f>
        <v>1</v>
      </c>
      <c r="F4" s="3">
        <f t="shared" si="0"/>
        <v>2</v>
      </c>
      <c r="G4" s="3">
        <f t="shared" si="0"/>
        <v>3</v>
      </c>
      <c r="H4" s="3">
        <f t="shared" si="0"/>
        <v>4</v>
      </c>
      <c r="I4" s="3">
        <f t="shared" si="0"/>
        <v>5</v>
      </c>
      <c r="J4" s="3">
        <f t="shared" si="0"/>
        <v>6</v>
      </c>
      <c r="K4" s="3">
        <f t="shared" si="0"/>
        <v>7</v>
      </c>
      <c r="L4" s="3">
        <f t="shared" si="0"/>
        <v>8</v>
      </c>
      <c r="M4" s="3">
        <f t="shared" si="0"/>
        <v>9</v>
      </c>
      <c r="N4" s="3">
        <f t="shared" si="0"/>
        <v>10</v>
      </c>
      <c r="O4" s="3">
        <f t="shared" si="0"/>
        <v>11</v>
      </c>
      <c r="P4" s="3">
        <f t="shared" si="0"/>
        <v>12</v>
      </c>
      <c r="Q4" s="3">
        <f t="shared" si="0"/>
        <v>13</v>
      </c>
      <c r="R4" s="3">
        <f t="shared" si="0"/>
        <v>14</v>
      </c>
      <c r="S4" s="3">
        <f t="shared" si="0"/>
        <v>15</v>
      </c>
      <c r="T4" s="3">
        <f t="shared" si="0"/>
        <v>16</v>
      </c>
      <c r="U4" s="3">
        <f t="shared" si="0"/>
        <v>17</v>
      </c>
      <c r="V4" s="3">
        <f t="shared" si="0"/>
        <v>18</v>
      </c>
      <c r="W4" s="3">
        <f t="shared" si="0"/>
        <v>19</v>
      </c>
      <c r="X4" s="3">
        <f t="shared" si="0"/>
        <v>20</v>
      </c>
      <c r="Y4" s="3">
        <f t="shared" si="0"/>
        <v>21</v>
      </c>
      <c r="Z4" s="3">
        <f t="shared" si="0"/>
        <v>22</v>
      </c>
      <c r="AA4" s="3">
        <f t="shared" si="0"/>
        <v>23</v>
      </c>
      <c r="AB4" s="3">
        <f t="shared" si="0"/>
        <v>24</v>
      </c>
      <c r="AC4" s="3">
        <f t="shared" si="0"/>
        <v>25</v>
      </c>
      <c r="AD4" s="3">
        <f t="shared" si="0"/>
        <v>26</v>
      </c>
      <c r="AE4" s="3">
        <f t="shared" si="0"/>
        <v>27</v>
      </c>
      <c r="AF4" s="3">
        <f t="shared" si="0"/>
        <v>28</v>
      </c>
      <c r="AG4" s="3">
        <f t="shared" si="0"/>
        <v>29</v>
      </c>
      <c r="AH4" s="3">
        <f t="shared" si="0"/>
        <v>30</v>
      </c>
      <c r="AI4" s="3">
        <f t="shared" si="0"/>
        <v>31</v>
      </c>
      <c r="AJ4" s="3">
        <f t="shared" si="0"/>
        <v>32</v>
      </c>
      <c r="AK4" s="3">
        <f t="shared" ref="AK4:BP4" si="1">AJ4+1</f>
        <v>33</v>
      </c>
      <c r="AL4" s="3">
        <f t="shared" si="1"/>
        <v>34</v>
      </c>
      <c r="AM4" s="3">
        <f t="shared" si="1"/>
        <v>35</v>
      </c>
      <c r="AN4" s="3">
        <f t="shared" si="1"/>
        <v>36</v>
      </c>
      <c r="AO4" s="3">
        <f t="shared" si="1"/>
        <v>37</v>
      </c>
      <c r="AP4" s="3">
        <f t="shared" si="1"/>
        <v>38</v>
      </c>
      <c r="AQ4" s="3">
        <f t="shared" si="1"/>
        <v>39</v>
      </c>
      <c r="AR4" s="3">
        <f t="shared" si="1"/>
        <v>40</v>
      </c>
      <c r="AS4" s="3">
        <f t="shared" si="1"/>
        <v>41</v>
      </c>
      <c r="AT4" s="3">
        <f t="shared" si="1"/>
        <v>42</v>
      </c>
      <c r="AU4" s="3">
        <f t="shared" si="1"/>
        <v>43</v>
      </c>
      <c r="AV4" s="3">
        <f t="shared" si="1"/>
        <v>44</v>
      </c>
      <c r="AW4" s="3">
        <f t="shared" si="1"/>
        <v>45</v>
      </c>
      <c r="AX4" s="3">
        <f t="shared" si="1"/>
        <v>46</v>
      </c>
      <c r="AY4" s="3">
        <f t="shared" si="1"/>
        <v>47</v>
      </c>
      <c r="AZ4" s="3">
        <f t="shared" si="1"/>
        <v>48</v>
      </c>
      <c r="BA4" s="3">
        <f t="shared" si="1"/>
        <v>49</v>
      </c>
      <c r="BB4" s="3">
        <f t="shared" si="1"/>
        <v>50</v>
      </c>
      <c r="BC4" s="3">
        <f t="shared" si="1"/>
        <v>51</v>
      </c>
      <c r="BD4" s="3">
        <f t="shared" si="1"/>
        <v>52</v>
      </c>
      <c r="BE4" s="3">
        <f t="shared" si="1"/>
        <v>53</v>
      </c>
      <c r="BF4" s="3">
        <f t="shared" si="1"/>
        <v>54</v>
      </c>
      <c r="BG4" s="3">
        <f t="shared" si="1"/>
        <v>55</v>
      </c>
      <c r="BH4" s="3">
        <f t="shared" si="1"/>
        <v>56</v>
      </c>
      <c r="BI4" s="3">
        <f t="shared" si="1"/>
        <v>57</v>
      </c>
      <c r="BJ4" s="3">
        <f t="shared" si="1"/>
        <v>58</v>
      </c>
      <c r="BK4" s="3">
        <f t="shared" si="1"/>
        <v>59</v>
      </c>
      <c r="BL4" s="3">
        <f t="shared" si="1"/>
        <v>60</v>
      </c>
      <c r="BM4" s="3">
        <f t="shared" si="1"/>
        <v>61</v>
      </c>
      <c r="BN4" s="3">
        <f t="shared" si="1"/>
        <v>62</v>
      </c>
      <c r="BO4" s="3">
        <f t="shared" si="1"/>
        <v>63</v>
      </c>
      <c r="BP4" s="3">
        <f t="shared" si="1"/>
        <v>64</v>
      </c>
      <c r="BQ4" s="3">
        <f t="shared" ref="BQ4:CV4" si="2">BP4+1</f>
        <v>65</v>
      </c>
      <c r="BR4" s="3">
        <f t="shared" si="2"/>
        <v>66</v>
      </c>
      <c r="BS4" s="3">
        <f t="shared" si="2"/>
        <v>67</v>
      </c>
      <c r="BT4" s="3">
        <f t="shared" si="2"/>
        <v>68</v>
      </c>
      <c r="BU4" s="3">
        <f t="shared" si="2"/>
        <v>69</v>
      </c>
      <c r="BV4" s="3">
        <f t="shared" si="2"/>
        <v>70</v>
      </c>
      <c r="BW4" s="3">
        <f t="shared" si="2"/>
        <v>71</v>
      </c>
      <c r="BX4" s="3">
        <f t="shared" si="2"/>
        <v>72</v>
      </c>
      <c r="BY4" s="3">
        <f t="shared" si="2"/>
        <v>73</v>
      </c>
      <c r="BZ4" s="3">
        <f t="shared" si="2"/>
        <v>74</v>
      </c>
      <c r="CA4" s="3">
        <f t="shared" si="2"/>
        <v>75</v>
      </c>
      <c r="CB4" s="3">
        <f t="shared" si="2"/>
        <v>76</v>
      </c>
      <c r="CC4" s="3">
        <f t="shared" si="2"/>
        <v>77</v>
      </c>
      <c r="CD4" s="3">
        <f t="shared" si="2"/>
        <v>78</v>
      </c>
      <c r="CE4" s="3">
        <f t="shared" si="2"/>
        <v>79</v>
      </c>
      <c r="CF4" s="3">
        <f t="shared" si="2"/>
        <v>80</v>
      </c>
      <c r="CG4" s="3">
        <f t="shared" si="2"/>
        <v>81</v>
      </c>
      <c r="CH4" s="3">
        <f t="shared" si="2"/>
        <v>82</v>
      </c>
      <c r="CI4" s="3">
        <f t="shared" si="2"/>
        <v>83</v>
      </c>
      <c r="CJ4" s="3">
        <f t="shared" si="2"/>
        <v>84</v>
      </c>
      <c r="CK4" s="3">
        <f t="shared" si="2"/>
        <v>85</v>
      </c>
      <c r="CL4" s="3">
        <f t="shared" si="2"/>
        <v>86</v>
      </c>
      <c r="CM4" s="3">
        <f t="shared" si="2"/>
        <v>87</v>
      </c>
      <c r="CN4" s="3">
        <f t="shared" si="2"/>
        <v>88</v>
      </c>
      <c r="CO4" s="3">
        <f t="shared" si="2"/>
        <v>89</v>
      </c>
      <c r="CP4" s="3">
        <f t="shared" si="2"/>
        <v>90</v>
      </c>
      <c r="CQ4" s="3">
        <f t="shared" si="2"/>
        <v>91</v>
      </c>
      <c r="CR4" s="3">
        <f t="shared" si="2"/>
        <v>92</v>
      </c>
      <c r="CS4" s="3">
        <f t="shared" si="2"/>
        <v>93</v>
      </c>
      <c r="CT4" s="3">
        <f t="shared" si="2"/>
        <v>94</v>
      </c>
      <c r="CU4" s="3">
        <f t="shared" si="2"/>
        <v>95</v>
      </c>
      <c r="CV4" s="3">
        <f t="shared" si="2"/>
        <v>96</v>
      </c>
      <c r="CW4" s="3">
        <f t="shared" ref="CW4:DZ4" si="3">CV4+1</f>
        <v>97</v>
      </c>
      <c r="CX4" s="3">
        <f t="shared" si="3"/>
        <v>98</v>
      </c>
      <c r="CY4" s="3">
        <f t="shared" si="3"/>
        <v>99</v>
      </c>
      <c r="CZ4" s="3">
        <f t="shared" si="3"/>
        <v>100</v>
      </c>
      <c r="DA4" s="3">
        <f t="shared" si="3"/>
        <v>101</v>
      </c>
      <c r="DB4" s="3">
        <f t="shared" si="3"/>
        <v>102</v>
      </c>
      <c r="DC4" s="3">
        <f t="shared" si="3"/>
        <v>103</v>
      </c>
      <c r="DD4" s="3">
        <f t="shared" si="3"/>
        <v>104</v>
      </c>
      <c r="DE4" s="3">
        <f t="shared" si="3"/>
        <v>105</v>
      </c>
      <c r="DF4" s="3">
        <f t="shared" si="3"/>
        <v>106</v>
      </c>
      <c r="DG4" s="3">
        <f t="shared" si="3"/>
        <v>107</v>
      </c>
      <c r="DH4" s="3">
        <f t="shared" si="3"/>
        <v>108</v>
      </c>
      <c r="DI4" s="3">
        <f t="shared" si="3"/>
        <v>109</v>
      </c>
      <c r="DJ4" s="3">
        <f t="shared" si="3"/>
        <v>110</v>
      </c>
      <c r="DK4" s="3">
        <f t="shared" si="3"/>
        <v>111</v>
      </c>
      <c r="DL4" s="3">
        <f t="shared" si="3"/>
        <v>112</v>
      </c>
      <c r="DM4" s="3">
        <f t="shared" si="3"/>
        <v>113</v>
      </c>
      <c r="DN4" s="3">
        <f t="shared" si="3"/>
        <v>114</v>
      </c>
      <c r="DO4" s="3">
        <f t="shared" si="3"/>
        <v>115</v>
      </c>
      <c r="DP4" s="3">
        <f t="shared" si="3"/>
        <v>116</v>
      </c>
      <c r="DQ4" s="3">
        <f t="shared" si="3"/>
        <v>117</v>
      </c>
      <c r="DR4" s="3">
        <f t="shared" si="3"/>
        <v>118</v>
      </c>
      <c r="DS4" s="3">
        <f t="shared" si="3"/>
        <v>119</v>
      </c>
      <c r="DT4" s="3">
        <f t="shared" si="3"/>
        <v>120</v>
      </c>
      <c r="DU4" s="3">
        <f t="shared" si="3"/>
        <v>121</v>
      </c>
      <c r="DV4" s="3">
        <f t="shared" si="3"/>
        <v>122</v>
      </c>
      <c r="DW4" s="3">
        <f t="shared" si="3"/>
        <v>123</v>
      </c>
      <c r="DX4" s="3">
        <f t="shared" si="3"/>
        <v>124</v>
      </c>
      <c r="DY4" s="3">
        <f t="shared" si="3"/>
        <v>125</v>
      </c>
      <c r="DZ4" s="3">
        <f t="shared" si="3"/>
        <v>126</v>
      </c>
    </row>
    <row r="5" spans="1:130">
      <c r="A5" s="5" t="s">
        <v>202</v>
      </c>
      <c r="B5" s="8" t="s">
        <v>187</v>
      </c>
      <c r="C5" s="5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>
        <v>6.5659999999999998</v>
      </c>
      <c r="U5" s="14">
        <v>6.44</v>
      </c>
      <c r="V5" s="14">
        <v>6.2160000000000002</v>
      </c>
      <c r="W5" s="14">
        <v>5.9130000000000003</v>
      </c>
      <c r="X5" s="14">
        <v>5.6980000000000004</v>
      </c>
      <c r="Y5" s="14">
        <v>5.516</v>
      </c>
      <c r="Z5" s="14">
        <v>5.4109999999999996</v>
      </c>
      <c r="AA5" s="14">
        <v>5.383</v>
      </c>
      <c r="AB5" s="14">
        <v>5.383</v>
      </c>
      <c r="AC5" s="14">
        <v>5.4109999999999996</v>
      </c>
      <c r="AD5" s="14">
        <v>5.4320000000000004</v>
      </c>
      <c r="AE5" s="14">
        <v>5.4530000000000003</v>
      </c>
      <c r="AF5" s="14">
        <v>5.5090000000000003</v>
      </c>
      <c r="AG5" s="14">
        <v>5.5789999999999997</v>
      </c>
      <c r="AH5" s="14">
        <v>5.6559999999999997</v>
      </c>
      <c r="AI5" s="14">
        <v>5.7510000000000003</v>
      </c>
      <c r="AJ5" s="14">
        <v>5.859</v>
      </c>
      <c r="AK5" s="14">
        <v>5.9569999999999999</v>
      </c>
      <c r="AL5" s="14">
        <v>6.069</v>
      </c>
      <c r="AM5" s="14">
        <v>6.1950000000000003</v>
      </c>
      <c r="AN5" s="14">
        <v>6.335</v>
      </c>
      <c r="AO5" s="14">
        <v>6.4960000000000004</v>
      </c>
      <c r="AP5" s="14">
        <v>6.6849999999999996</v>
      </c>
      <c r="AQ5" s="14">
        <v>6.8810000000000002</v>
      </c>
      <c r="AR5" s="14">
        <v>7.0839999999999996</v>
      </c>
      <c r="AS5" s="14">
        <v>7.3010000000000002</v>
      </c>
      <c r="AT5" s="14">
        <v>7.5110000000000001</v>
      </c>
      <c r="AU5" s="14">
        <v>7.7279999999999998</v>
      </c>
      <c r="AV5" s="14">
        <v>7.9379999999999997</v>
      </c>
      <c r="AW5" s="14">
        <v>8.1620000000000008</v>
      </c>
      <c r="AX5" s="14">
        <v>8.4139999999999997</v>
      </c>
      <c r="AY5" s="14">
        <v>8.7080000000000002</v>
      </c>
      <c r="AZ5" s="14">
        <v>9.0299999999999994</v>
      </c>
      <c r="BA5" s="14">
        <v>9.3800000000000008</v>
      </c>
      <c r="BB5" s="14">
        <v>9.7650000000000006</v>
      </c>
      <c r="BC5" s="14">
        <v>10.113</v>
      </c>
      <c r="BD5" s="14">
        <v>10.548999999999999</v>
      </c>
      <c r="BE5" s="14">
        <v>10.976000000000001</v>
      </c>
      <c r="BF5" s="14">
        <v>11.473000000000001</v>
      </c>
      <c r="BG5" s="14">
        <v>12.012</v>
      </c>
      <c r="BH5" s="14">
        <v>12.586</v>
      </c>
      <c r="BI5" s="14">
        <v>13.209</v>
      </c>
      <c r="BJ5" s="14">
        <v>13.853</v>
      </c>
      <c r="BK5" s="14">
        <v>14.518000000000001</v>
      </c>
      <c r="BL5" s="14">
        <v>15.253</v>
      </c>
      <c r="BM5" s="14">
        <v>16.044</v>
      </c>
      <c r="BN5" s="14">
        <v>16.863</v>
      </c>
      <c r="BO5" s="14">
        <v>17.702999999999999</v>
      </c>
      <c r="BP5" s="14">
        <v>18.55</v>
      </c>
      <c r="BQ5" s="14">
        <v>19.382999999999999</v>
      </c>
      <c r="BR5" s="14">
        <v>20.257999999999999</v>
      </c>
      <c r="BS5" s="14">
        <v>21.41</v>
      </c>
      <c r="BT5" s="14">
        <v>21.991</v>
      </c>
      <c r="BU5" s="14">
        <v>22.728999999999999</v>
      </c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</row>
    <row r="6" spans="1:130">
      <c r="A6" s="5" t="s">
        <v>202</v>
      </c>
      <c r="B6" s="8" t="s">
        <v>186</v>
      </c>
      <c r="C6" s="5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>
        <v>4</v>
      </c>
      <c r="U6" s="14">
        <v>4.0650000000000004</v>
      </c>
      <c r="V6" s="14">
        <v>4.1399999999999997</v>
      </c>
      <c r="W6" s="14">
        <v>4.25</v>
      </c>
      <c r="X6" s="14">
        <v>4.3650000000000002</v>
      </c>
      <c r="Y6" s="14">
        <v>4.4950000000000001</v>
      </c>
      <c r="Z6" s="14">
        <v>4.6040000000000001</v>
      </c>
      <c r="AA6" s="14">
        <v>5</v>
      </c>
      <c r="AB6" s="14">
        <v>5.2759999999999998</v>
      </c>
      <c r="AC6" s="14">
        <v>5.4480000000000004</v>
      </c>
      <c r="AD6" s="14">
        <v>5.532</v>
      </c>
      <c r="AE6" s="14">
        <v>5.5439999999999996</v>
      </c>
      <c r="AF6" s="14">
        <v>5.5510000000000002</v>
      </c>
      <c r="AG6" s="14">
        <v>5.556</v>
      </c>
      <c r="AH6" s="14">
        <v>5.5620000000000003</v>
      </c>
      <c r="AI6" s="14">
        <v>5.569</v>
      </c>
      <c r="AJ6" s="14">
        <v>5.5759999999999996</v>
      </c>
      <c r="AK6" s="14">
        <v>5.5839999999999996</v>
      </c>
      <c r="AL6" s="14">
        <v>5.593</v>
      </c>
      <c r="AM6" s="14">
        <v>5.6070000000000002</v>
      </c>
      <c r="AN6" s="14">
        <v>5.6230000000000002</v>
      </c>
      <c r="AO6" s="14">
        <v>5.6120000000000001</v>
      </c>
      <c r="AP6" s="14">
        <v>5.6890000000000001</v>
      </c>
      <c r="AQ6" s="14">
        <v>5.74</v>
      </c>
      <c r="AR6" s="14">
        <v>5.96</v>
      </c>
      <c r="AS6" s="14">
        <v>6.16</v>
      </c>
      <c r="AT6" s="14">
        <v>6.31</v>
      </c>
      <c r="AU6" s="14">
        <v>6.5</v>
      </c>
      <c r="AV6" s="14">
        <v>6.7839999999999998</v>
      </c>
      <c r="AW6" s="14">
        <v>6.952</v>
      </c>
      <c r="AX6" s="14">
        <v>7.0279999999999996</v>
      </c>
      <c r="AY6" s="14">
        <v>7.0410000000000004</v>
      </c>
      <c r="AZ6" s="14">
        <v>7.056</v>
      </c>
      <c r="BA6" s="14">
        <v>7.0739999999999998</v>
      </c>
      <c r="BB6" s="14">
        <v>7.0949999999999998</v>
      </c>
      <c r="BC6" s="14">
        <v>7.12</v>
      </c>
      <c r="BD6" s="14">
        <v>7.1470000000000002</v>
      </c>
      <c r="BE6" s="14">
        <v>7.1779999999999999</v>
      </c>
      <c r="BF6" s="14">
        <v>7.2119999999999997</v>
      </c>
      <c r="BG6" s="14">
        <v>7.5960000000000001</v>
      </c>
      <c r="BH6" s="14">
        <v>8.1210000000000004</v>
      </c>
      <c r="BI6" s="14">
        <v>8.7680000000000007</v>
      </c>
      <c r="BJ6" s="14">
        <v>9.5</v>
      </c>
      <c r="BK6" s="14">
        <v>10.747999999999999</v>
      </c>
      <c r="BL6" s="14">
        <v>11.724</v>
      </c>
      <c r="BM6" s="14">
        <v>12.476000000000001</v>
      </c>
      <c r="BN6" s="14">
        <v>13.052</v>
      </c>
      <c r="BO6" s="14">
        <v>13.5</v>
      </c>
      <c r="BP6" s="14">
        <v>14.172000000000001</v>
      </c>
      <c r="BQ6" s="14">
        <v>11.736000000000001</v>
      </c>
      <c r="BR6" s="14">
        <v>15.161</v>
      </c>
      <c r="BS6" s="14">
        <v>15.128</v>
      </c>
      <c r="BT6" s="14">
        <v>15.5</v>
      </c>
      <c r="BU6" s="14">
        <v>16.187999999999999</v>
      </c>
      <c r="BV6" s="14">
        <v>17.081</v>
      </c>
      <c r="BW6" s="14">
        <v>18.236000000000001</v>
      </c>
      <c r="BX6" s="14">
        <v>19.692</v>
      </c>
      <c r="BY6" s="14">
        <v>21.5</v>
      </c>
      <c r="BZ6" s="14">
        <v>25</v>
      </c>
      <c r="CA6" s="14"/>
      <c r="CB6" s="14"/>
      <c r="CC6" s="14"/>
      <c r="CD6" s="14"/>
      <c r="CE6" s="14"/>
      <c r="CF6" s="14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</row>
    <row r="7" spans="1:130">
      <c r="A7" s="5" t="s">
        <v>202</v>
      </c>
      <c r="B7" s="8" t="s">
        <v>189</v>
      </c>
      <c r="C7" s="5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>
        <v>0</v>
      </c>
      <c r="U7" s="14">
        <v>0</v>
      </c>
      <c r="V7" s="14">
        <v>0</v>
      </c>
      <c r="W7" s="14">
        <v>0</v>
      </c>
      <c r="X7" s="14">
        <v>4.5</v>
      </c>
      <c r="Y7" s="14">
        <v>4.55</v>
      </c>
      <c r="Z7" s="14">
        <v>4.5999999999999996</v>
      </c>
      <c r="AA7" s="14">
        <v>4.6399999999999997</v>
      </c>
      <c r="AB7" s="14">
        <v>4.6900000000000004</v>
      </c>
      <c r="AC7" s="14">
        <v>4.74</v>
      </c>
      <c r="AD7" s="14">
        <v>4.8099999999999996</v>
      </c>
      <c r="AE7" s="14">
        <v>4.93</v>
      </c>
      <c r="AF7" s="14">
        <v>5</v>
      </c>
      <c r="AG7" s="14">
        <v>5.08</v>
      </c>
      <c r="AH7" s="14">
        <v>5.16</v>
      </c>
      <c r="AI7" s="14">
        <v>5.26</v>
      </c>
      <c r="AJ7" s="14">
        <v>5.3</v>
      </c>
      <c r="AK7" s="14">
        <v>5.5</v>
      </c>
      <c r="AL7" s="14">
        <v>5.7</v>
      </c>
      <c r="AM7" s="14">
        <v>5.91</v>
      </c>
      <c r="AN7" s="14">
        <v>6.11</v>
      </c>
      <c r="AO7" s="14">
        <v>6.29</v>
      </c>
      <c r="AP7" s="14">
        <v>6.45</v>
      </c>
      <c r="AQ7" s="14">
        <v>6.64</v>
      </c>
      <c r="AR7" s="14">
        <v>6.81</v>
      </c>
      <c r="AS7" s="14">
        <v>6.95</v>
      </c>
      <c r="AT7" s="14">
        <v>7.1</v>
      </c>
      <c r="AU7" s="14">
        <v>7.29</v>
      </c>
      <c r="AV7" s="14">
        <v>7.45</v>
      </c>
      <c r="AW7" s="14">
        <v>7.6</v>
      </c>
      <c r="AX7" s="14">
        <v>7.75</v>
      </c>
      <c r="AY7" s="14">
        <v>7.95</v>
      </c>
      <c r="AZ7" s="14">
        <v>8.2200000000000006</v>
      </c>
      <c r="BA7" s="14">
        <v>8.4700000000000006</v>
      </c>
      <c r="BB7" s="14">
        <v>8.6999999999999993</v>
      </c>
      <c r="BC7" s="14">
        <v>9.15</v>
      </c>
      <c r="BD7" s="14">
        <v>9.6</v>
      </c>
      <c r="BE7" s="14">
        <v>10.1</v>
      </c>
      <c r="BF7" s="14">
        <v>10.77</v>
      </c>
      <c r="BG7" s="14">
        <v>11.45</v>
      </c>
      <c r="BH7" s="14">
        <v>12.2</v>
      </c>
      <c r="BI7" s="14">
        <v>12.9</v>
      </c>
      <c r="BJ7" s="14">
        <v>13.67</v>
      </c>
      <c r="BK7" s="14">
        <v>14.46</v>
      </c>
      <c r="BL7" s="14">
        <v>15.31</v>
      </c>
      <c r="BM7" s="14">
        <v>16.2</v>
      </c>
      <c r="BN7" s="14">
        <v>17</v>
      </c>
      <c r="BO7" s="14">
        <v>17.7</v>
      </c>
      <c r="BP7" s="14">
        <v>18.18</v>
      </c>
      <c r="BQ7" s="14">
        <v>19.260000000000002</v>
      </c>
      <c r="BR7" s="14">
        <v>19.95</v>
      </c>
      <c r="BS7" s="14">
        <v>20.74</v>
      </c>
      <c r="BT7" s="14">
        <v>21.8</v>
      </c>
      <c r="BU7" s="14">
        <v>23.5</v>
      </c>
      <c r="BV7" s="14">
        <v>25.9</v>
      </c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</row>
    <row r="8" spans="1:130">
      <c r="A8" s="5" t="s">
        <v>202</v>
      </c>
      <c r="B8" s="9" t="s">
        <v>183</v>
      </c>
      <c r="C8" s="10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>
        <v>6.32</v>
      </c>
      <c r="U8" s="14">
        <v>6.16</v>
      </c>
      <c r="V8" s="14">
        <v>6.02</v>
      </c>
      <c r="W8" s="14">
        <v>5.89</v>
      </c>
      <c r="X8" s="14">
        <v>5.78</v>
      </c>
      <c r="Y8" s="14">
        <v>5.68</v>
      </c>
      <c r="Z8" s="14">
        <v>5.6</v>
      </c>
      <c r="AA8" s="14">
        <v>5.53</v>
      </c>
      <c r="AB8" s="14">
        <v>5.47</v>
      </c>
      <c r="AC8" s="14">
        <v>5.44</v>
      </c>
      <c r="AD8" s="14">
        <v>5.42</v>
      </c>
      <c r="AE8" s="14">
        <v>5.41</v>
      </c>
      <c r="AF8" s="14">
        <v>5.42</v>
      </c>
      <c r="AG8" s="14">
        <v>5.44</v>
      </c>
      <c r="AH8" s="14">
        <v>5.18</v>
      </c>
      <c r="AI8" s="14">
        <v>5.53</v>
      </c>
      <c r="AJ8" s="14">
        <v>5.6</v>
      </c>
      <c r="AK8" s="14">
        <v>5.68</v>
      </c>
      <c r="AL8" s="14">
        <v>5.78</v>
      </c>
      <c r="AM8" s="14">
        <v>5.9</v>
      </c>
      <c r="AN8" s="14">
        <v>6.03</v>
      </c>
      <c r="AO8" s="14">
        <v>6.17</v>
      </c>
      <c r="AP8" s="14">
        <v>6.33</v>
      </c>
      <c r="AQ8" s="14">
        <v>6.51</v>
      </c>
      <c r="AR8" s="14">
        <v>6.7</v>
      </c>
      <c r="AS8" s="14">
        <v>6.9</v>
      </c>
      <c r="AT8" s="14">
        <v>7.12</v>
      </c>
      <c r="AU8" s="14">
        <v>7.36</v>
      </c>
      <c r="AV8" s="14">
        <v>7.61</v>
      </c>
      <c r="AW8" s="14">
        <v>7.88</v>
      </c>
      <c r="AX8" s="14">
        <v>8.16</v>
      </c>
      <c r="AY8" s="14">
        <v>8.4499999999999993</v>
      </c>
      <c r="AZ8" s="14">
        <v>8.76</v>
      </c>
      <c r="BA8" s="14">
        <v>9.09</v>
      </c>
      <c r="BB8" s="14">
        <v>9.43</v>
      </c>
      <c r="BC8" s="14">
        <v>9.7899999999999991</v>
      </c>
      <c r="BD8" s="14">
        <v>10.16</v>
      </c>
      <c r="BE8" s="14">
        <v>10.55</v>
      </c>
      <c r="BF8" s="14">
        <v>10.95</v>
      </c>
      <c r="BG8" s="14">
        <v>11.37</v>
      </c>
      <c r="BH8" s="14">
        <v>11.8</v>
      </c>
      <c r="BI8" s="14">
        <v>12.25</v>
      </c>
      <c r="BJ8" s="14">
        <v>12.72</v>
      </c>
      <c r="BK8" s="14">
        <v>13.9</v>
      </c>
      <c r="BL8" s="14">
        <v>13.69</v>
      </c>
      <c r="BM8" s="14">
        <v>14.2</v>
      </c>
      <c r="BN8" s="14">
        <v>11.72</v>
      </c>
      <c r="BO8" s="14">
        <v>15.26</v>
      </c>
      <c r="BP8" s="14">
        <v>15.81</v>
      </c>
      <c r="BQ8" s="14">
        <v>16.38</v>
      </c>
      <c r="BR8" s="14">
        <v>16.97</v>
      </c>
      <c r="BS8" s="14">
        <v>17.57</v>
      </c>
      <c r="BT8" s="14">
        <v>18.18</v>
      </c>
      <c r="BU8" s="14">
        <v>18.809999999999999</v>
      </c>
      <c r="BV8" s="14">
        <v>19.46</v>
      </c>
      <c r="BW8" s="14">
        <v>20.12</v>
      </c>
      <c r="BX8" s="14">
        <v>20.8</v>
      </c>
      <c r="BY8" s="14">
        <v>21.49</v>
      </c>
      <c r="BZ8" s="14">
        <v>22.19</v>
      </c>
      <c r="CA8" s="14">
        <v>22.92</v>
      </c>
      <c r="CB8" s="14">
        <v>23.65</v>
      </c>
      <c r="CC8" s="14">
        <v>21.4</v>
      </c>
      <c r="CD8" s="14">
        <v>25.17</v>
      </c>
      <c r="CE8" s="14">
        <v>25.95</v>
      </c>
      <c r="CF8" s="14">
        <v>26.75</v>
      </c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</row>
    <row r="9" spans="1:130">
      <c r="A9" s="5" t="s">
        <v>202</v>
      </c>
      <c r="B9" s="9" t="s">
        <v>184</v>
      </c>
      <c r="C9" s="10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>
        <v>6.87</v>
      </c>
      <c r="U9" s="14">
        <v>6.65</v>
      </c>
      <c r="V9" s="14">
        <v>6.36</v>
      </c>
      <c r="W9" s="14">
        <v>5.9</v>
      </c>
      <c r="X9" s="14">
        <v>5.39</v>
      </c>
      <c r="Y9" s="14">
        <v>5.12</v>
      </c>
      <c r="Z9" s="14">
        <v>4.96</v>
      </c>
      <c r="AA9" s="14">
        <v>4.88</v>
      </c>
      <c r="AB9" s="14">
        <v>4.8099999999999996</v>
      </c>
      <c r="AC9" s="14">
        <v>4.8499999999999996</v>
      </c>
      <c r="AD9" s="14">
        <v>4.88</v>
      </c>
      <c r="AE9" s="14">
        <v>4.9800000000000004</v>
      </c>
      <c r="AF9" s="14">
        <v>5.1100000000000003</v>
      </c>
      <c r="AG9" s="14">
        <v>5.25</v>
      </c>
      <c r="AH9" s="14">
        <v>5.41</v>
      </c>
      <c r="AI9" s="14">
        <v>5.61</v>
      </c>
      <c r="AJ9" s="14">
        <v>5.83</v>
      </c>
      <c r="AK9" s="14">
        <v>6.05</v>
      </c>
      <c r="AL9" s="14">
        <v>6.27</v>
      </c>
      <c r="AM9" s="14">
        <v>6.48</v>
      </c>
      <c r="AN9" s="14">
        <v>6.67</v>
      </c>
      <c r="AO9" s="14">
        <v>6.84</v>
      </c>
      <c r="AP9" s="14">
        <v>6.99</v>
      </c>
      <c r="AQ9" s="14">
        <v>7.12</v>
      </c>
      <c r="AR9" s="14">
        <v>7.24</v>
      </c>
      <c r="AS9" s="14">
        <v>7.36</v>
      </c>
      <c r="AT9" s="14">
        <v>7.49</v>
      </c>
      <c r="AU9" s="14">
        <v>7.63</v>
      </c>
      <c r="AV9" s="14">
        <v>7.78</v>
      </c>
      <c r="AW9" s="14">
        <v>7.96</v>
      </c>
      <c r="AX9" s="14">
        <v>8.18</v>
      </c>
      <c r="AY9" s="14">
        <v>8.4600000000000009</v>
      </c>
      <c r="AZ9" s="14">
        <v>8.82</v>
      </c>
      <c r="BA9" s="14">
        <v>9.27</v>
      </c>
      <c r="BB9" s="14">
        <v>9.82</v>
      </c>
      <c r="BC9" s="14">
        <v>10.41</v>
      </c>
      <c r="BD9" s="14">
        <v>11.02</v>
      </c>
      <c r="BE9" s="14">
        <v>11.65</v>
      </c>
      <c r="BF9" s="14">
        <v>12.28</v>
      </c>
      <c r="BG9" s="14">
        <v>12.92</v>
      </c>
      <c r="BH9" s="14">
        <v>13.56</v>
      </c>
      <c r="BI9" s="14">
        <v>11.2</v>
      </c>
      <c r="BJ9" s="14">
        <v>11.84</v>
      </c>
      <c r="BK9" s="14">
        <v>15.18</v>
      </c>
      <c r="BL9" s="14">
        <v>16.12</v>
      </c>
      <c r="BM9" s="14">
        <v>16.760000000000002</v>
      </c>
      <c r="BN9" s="14">
        <v>17.399999999999999</v>
      </c>
      <c r="BO9" s="14">
        <v>18.04</v>
      </c>
      <c r="BP9" s="14">
        <v>18.68</v>
      </c>
      <c r="BQ9" s="14">
        <v>19.32</v>
      </c>
      <c r="BR9" s="14">
        <v>19.96</v>
      </c>
      <c r="BS9" s="14">
        <v>20.61</v>
      </c>
      <c r="BT9" s="14">
        <v>21.26</v>
      </c>
      <c r="BU9" s="14">
        <v>21.92</v>
      </c>
      <c r="BV9" s="14">
        <v>22.5</v>
      </c>
      <c r="BW9" s="14">
        <v>23.27</v>
      </c>
      <c r="BX9" s="14">
        <v>23.96</v>
      </c>
      <c r="BY9" s="14">
        <v>21.67</v>
      </c>
      <c r="BZ9" s="14">
        <v>25.41</v>
      </c>
      <c r="CA9" s="14">
        <v>26.19</v>
      </c>
      <c r="CB9" s="14">
        <v>27.02</v>
      </c>
      <c r="CC9" s="14">
        <v>27.92</v>
      </c>
      <c r="CD9" s="14">
        <v>28.92</v>
      </c>
      <c r="CE9" s="14">
        <v>30.01</v>
      </c>
      <c r="CF9" s="14">
        <v>31.31</v>
      </c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</row>
    <row r="10" spans="1:130">
      <c r="A10" s="5" t="s">
        <v>202</v>
      </c>
      <c r="B10" s="8" t="s">
        <v>188</v>
      </c>
      <c r="C10" s="5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>
        <v>0</v>
      </c>
      <c r="U10" s="14">
        <v>6.51</v>
      </c>
      <c r="V10" s="14">
        <v>6.61</v>
      </c>
      <c r="W10" s="14">
        <v>6.69</v>
      </c>
      <c r="X10" s="14">
        <v>6.77</v>
      </c>
      <c r="Y10" s="14">
        <v>6.87</v>
      </c>
      <c r="Z10" s="14">
        <v>6.97</v>
      </c>
      <c r="AA10" s="14">
        <v>7.08</v>
      </c>
      <c r="AB10" s="14">
        <v>7.19</v>
      </c>
      <c r="AC10" s="14">
        <v>7.32</v>
      </c>
      <c r="AD10" s="14">
        <v>7.15</v>
      </c>
      <c r="AE10" s="14">
        <v>7.59</v>
      </c>
      <c r="AF10" s="14">
        <v>7.74</v>
      </c>
      <c r="AG10" s="14">
        <v>7.9</v>
      </c>
      <c r="AH10" s="14">
        <v>8.07</v>
      </c>
      <c r="AI10" s="14">
        <v>8.2100000000000009</v>
      </c>
      <c r="AJ10" s="14">
        <v>8.43</v>
      </c>
      <c r="AK10" s="14">
        <v>8.6199999999999992</v>
      </c>
      <c r="AL10" s="14">
        <v>8.83</v>
      </c>
      <c r="AM10" s="14">
        <v>9.01</v>
      </c>
      <c r="AN10" s="14">
        <v>9.26</v>
      </c>
      <c r="AO10" s="14">
        <v>9.49</v>
      </c>
      <c r="AP10" s="14">
        <v>9.7200000000000006</v>
      </c>
      <c r="AQ10" s="14">
        <v>9.9700000000000006</v>
      </c>
      <c r="AR10" s="14">
        <v>10.23</v>
      </c>
      <c r="AS10" s="14">
        <v>10.5</v>
      </c>
      <c r="AT10" s="14">
        <v>10.77</v>
      </c>
      <c r="AU10" s="14">
        <v>11.06</v>
      </c>
      <c r="AV10" s="14">
        <v>11.35</v>
      </c>
      <c r="AW10" s="14">
        <v>11.66</v>
      </c>
      <c r="AX10" s="14">
        <v>11.97</v>
      </c>
      <c r="AY10" s="14">
        <v>12.29</v>
      </c>
      <c r="AZ10" s="14">
        <v>12.63</v>
      </c>
      <c r="BA10" s="14">
        <v>12.97</v>
      </c>
      <c r="BB10" s="14">
        <v>13.32</v>
      </c>
      <c r="BC10" s="14">
        <v>13.69</v>
      </c>
      <c r="BD10" s="14">
        <v>14.06</v>
      </c>
      <c r="BE10" s="14">
        <v>14.45</v>
      </c>
      <c r="BF10" s="14">
        <v>14.84</v>
      </c>
      <c r="BG10" s="14">
        <v>15.24</v>
      </c>
      <c r="BH10" s="14">
        <v>15.66</v>
      </c>
      <c r="BI10" s="14">
        <v>16.079999999999998</v>
      </c>
      <c r="BJ10" s="14">
        <v>16.52</v>
      </c>
      <c r="BK10" s="14">
        <v>16.97</v>
      </c>
      <c r="BL10" s="14">
        <v>17.420000000000002</v>
      </c>
      <c r="BM10" s="14">
        <v>17.89</v>
      </c>
      <c r="BN10" s="14">
        <v>18.37</v>
      </c>
      <c r="BO10" s="14">
        <v>18.86</v>
      </c>
      <c r="BP10" s="14">
        <v>19.36</v>
      </c>
      <c r="BQ10" s="14">
        <v>19.87</v>
      </c>
      <c r="BR10" s="14">
        <v>20.39</v>
      </c>
      <c r="BS10" s="14">
        <v>20.93</v>
      </c>
      <c r="BT10" s="14">
        <v>21.17</v>
      </c>
      <c r="BU10" s="14">
        <v>22.03</v>
      </c>
      <c r="BV10" s="14">
        <v>22.6</v>
      </c>
      <c r="BW10" s="14">
        <v>23.18</v>
      </c>
      <c r="BX10" s="14">
        <v>23.78</v>
      </c>
      <c r="BY10" s="14">
        <v>21.37</v>
      </c>
      <c r="BZ10" s="14">
        <v>21.98</v>
      </c>
      <c r="CA10" s="14">
        <v>25.61</v>
      </c>
      <c r="CB10" s="14">
        <v>26.25</v>
      </c>
      <c r="CC10" s="14">
        <v>26.89</v>
      </c>
      <c r="CD10" s="14">
        <v>27.56</v>
      </c>
      <c r="CE10" s="14">
        <v>28.23</v>
      </c>
      <c r="CF10" s="14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</row>
  </sheetData>
  <phoneticPr fontId="0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</vt:i4>
      </vt:variant>
    </vt:vector>
  </HeadingPairs>
  <TitlesOfParts>
    <vt:vector size="12" baseType="lpstr">
      <vt:lpstr>Limitações e Ressalvas</vt:lpstr>
      <vt:lpstr>CONSULTA</vt:lpstr>
      <vt:lpstr>TÁBUAS</vt:lpstr>
      <vt:lpstr>Mortalidade Geral</vt:lpstr>
      <vt:lpstr>Mortalidade de Inválidos</vt:lpstr>
      <vt:lpstr>Entrada em Invalidez</vt:lpstr>
      <vt:lpstr>Auxílio-Doença (dias)</vt:lpstr>
      <vt:lpstr>CONSULTA!Area_de_impressao</vt:lpstr>
      <vt:lpstr>'Limitações e Ressalvas'!Area_de_impressao</vt:lpstr>
      <vt:lpstr>TÁBUAS!Area_de_impressao</vt:lpstr>
      <vt:lpstr>CONSULTA!Titulos_de_impressao</vt:lpstr>
      <vt:lpstr>TÁBUAS!Titulos_de_impressao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Marcelo Carvalho</dc:creator>
  <cp:lastModifiedBy>Leticia de Oliveira Doherty</cp:lastModifiedBy>
  <cp:lastPrinted>2021-07-01T01:36:49Z</cp:lastPrinted>
  <dcterms:created xsi:type="dcterms:W3CDTF">2010-11-13T13:21:47Z</dcterms:created>
  <dcterms:modified xsi:type="dcterms:W3CDTF">2021-07-01T01:42:10Z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66cbf4-3668-4c3b-9f1a-e6809dff862b_Enabled">
    <vt:lpwstr>True</vt:lpwstr>
  </property>
  <property fmtid="{D5CDD505-2E9C-101B-9397-08002B2CF9AE}" pid="3" name="MSIP_Label_7566cbf4-3668-4c3b-9f1a-e6809dff862b_SiteId">
    <vt:lpwstr>e90f0318-38cd-4ba4-8252-cb12a2a83926</vt:lpwstr>
  </property>
  <property fmtid="{D5CDD505-2E9C-101B-9397-08002B2CF9AE}" pid="4" name="MSIP_Label_7566cbf4-3668-4c3b-9f1a-e6809dff862b_Owner">
    <vt:lpwstr>ldoherty@irbbrasilre.com</vt:lpwstr>
  </property>
  <property fmtid="{D5CDD505-2E9C-101B-9397-08002B2CF9AE}" pid="5" name="MSIP_Label_7566cbf4-3668-4c3b-9f1a-e6809dff862b_SetDate">
    <vt:lpwstr>2021-06-30T22:08:28.8171398Z</vt:lpwstr>
  </property>
  <property fmtid="{D5CDD505-2E9C-101B-9397-08002B2CF9AE}" pid="6" name="MSIP_Label_7566cbf4-3668-4c3b-9f1a-e6809dff862b_Name">
    <vt:lpwstr>Reservada</vt:lpwstr>
  </property>
  <property fmtid="{D5CDD505-2E9C-101B-9397-08002B2CF9AE}" pid="7" name="MSIP_Label_7566cbf4-3668-4c3b-9f1a-e6809dff862b_Application">
    <vt:lpwstr>Microsoft Azure Information Protection</vt:lpwstr>
  </property>
  <property fmtid="{D5CDD505-2E9C-101B-9397-08002B2CF9AE}" pid="8" name="MSIP_Label_7566cbf4-3668-4c3b-9f1a-e6809dff862b_ActionId">
    <vt:lpwstr>62b8f2bf-e93e-4d39-8d6d-343598a1bd19</vt:lpwstr>
  </property>
  <property fmtid="{D5CDD505-2E9C-101B-9397-08002B2CF9AE}" pid="9" name="MSIP_Label_7566cbf4-3668-4c3b-9f1a-e6809dff862b_Extended_MSFT_Method">
    <vt:lpwstr>Automatic</vt:lpwstr>
  </property>
  <property fmtid="{D5CDD505-2E9C-101B-9397-08002B2CF9AE}" pid="10" name="Sensitivity">
    <vt:lpwstr>Reservada</vt:lpwstr>
  </property>
</Properties>
</file>